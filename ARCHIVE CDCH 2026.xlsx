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3caa50deb9c955e/ARCHILBO/PROJETS/ARCHIVE CAHIER DE CHANTIER/"/>
    </mc:Choice>
  </mc:AlternateContent>
  <xr:revisionPtr revIDLastSave="6" documentId="11_B70968793FA70543D855D051A0FD43F63C324FBD" xr6:coauthVersionLast="47" xr6:coauthVersionMax="47" xr10:uidLastSave="{7C8F6221-CB6E-4751-9988-4212AC8C8CF3}"/>
  <bookViews>
    <workbookView xWindow="-110" yWindow="-110" windowWidth="19420" windowHeight="10300" activeTab="1" xr2:uid="{00000000-000D-0000-FFFF-FFFF00000000}"/>
  </bookViews>
  <sheets>
    <sheet name="MARRAKECH" sheetId="1" r:id="rId1"/>
    <sheet name="BENGUERIR" sheetId="2" r:id="rId2"/>
    <sheet name="ESSAOUIRA" sheetId="3" r:id="rId3"/>
    <sheet name="AL HAOUZ" sheetId="4" r:id="rId4"/>
    <sheet name="KELAA" sheetId="5" r:id="rId5"/>
    <sheet name="AGADI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91" i="1" l="1"/>
  <c r="L70" i="1" l="1"/>
  <c r="L26" i="1" l="1"/>
  <c r="L56" i="1"/>
  <c r="L61" i="1" l="1"/>
  <c r="AC88" i="1"/>
  <c r="AC89" i="1"/>
  <c r="AC91" i="1"/>
  <c r="L89" i="1"/>
  <c r="L90" i="1"/>
  <c r="AC90" i="1" s="1"/>
  <c r="AC97" i="1" l="1"/>
  <c r="AC87" i="1" l="1"/>
  <c r="L40" i="4" l="1"/>
  <c r="L147" i="2" l="1"/>
  <c r="L28" i="1" l="1"/>
  <c r="I43" i="1" l="1"/>
  <c r="AC28" i="1"/>
  <c r="AC223" i="2" l="1"/>
  <c r="AC36" i="4" l="1"/>
  <c r="L76" i="1" l="1"/>
  <c r="AC5" i="6" l="1"/>
  <c r="AC6" i="6"/>
  <c r="AC7" i="6"/>
  <c r="AC8" i="6"/>
  <c r="AC9" i="6"/>
  <c r="AC4" i="6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4" i="5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4" i="4"/>
  <c r="AC41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" i="3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4" i="2"/>
  <c r="AC225" i="2"/>
  <c r="AC226" i="2"/>
  <c r="AC227" i="2"/>
  <c r="AC228" i="2"/>
  <c r="AC229" i="2"/>
  <c r="AC230" i="2"/>
  <c r="AC231" i="2"/>
  <c r="AC232" i="2"/>
  <c r="AC233" i="2"/>
  <c r="AC4" i="2"/>
  <c r="AC47" i="1"/>
  <c r="AC16" i="1"/>
  <c r="AC5" i="1"/>
  <c r="AC6" i="1"/>
  <c r="AC7" i="1"/>
  <c r="AC8" i="1"/>
  <c r="AC9" i="1"/>
  <c r="AC10" i="1"/>
  <c r="AC11" i="1"/>
  <c r="AC12" i="1"/>
  <c r="AC13" i="1"/>
  <c r="AC14" i="1"/>
  <c r="AC15" i="1"/>
  <c r="AC17" i="1"/>
  <c r="AC18" i="1"/>
  <c r="AC19" i="1"/>
  <c r="AC20" i="1"/>
  <c r="AC21" i="1"/>
  <c r="AC22" i="1"/>
  <c r="AC24" i="1"/>
  <c r="AC25" i="1"/>
  <c r="AC26" i="1"/>
  <c r="AC27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67" i="1"/>
  <c r="L170" i="2" l="1"/>
  <c r="AC170" i="2" s="1"/>
  <c r="L23" i="1" l="1"/>
  <c r="AC23" i="1" s="1"/>
</calcChain>
</file>

<file path=xl/sharedStrings.xml><?xml version="1.0" encoding="utf-8"?>
<sst xmlns="http://schemas.openxmlformats.org/spreadsheetml/2006/main" count="1785" uniqueCount="1402">
  <si>
    <t>Réf.</t>
  </si>
  <si>
    <t>Date</t>
  </si>
  <si>
    <t>Projet</t>
  </si>
  <si>
    <t xml:space="preserve">Surface Projet </t>
  </si>
  <si>
    <t>Numéro de télé</t>
  </si>
  <si>
    <t xml:space="preserve">Adresse </t>
  </si>
  <si>
    <t>Date de début des travaux</t>
  </si>
  <si>
    <t>AVANCE 1 (DH)</t>
  </si>
  <si>
    <t>AVANCE 2 (DH)</t>
  </si>
  <si>
    <t>AVANCE 3 (DH)</t>
  </si>
  <si>
    <t>AVANCE 4 (DH)</t>
  </si>
  <si>
    <t>Montant</t>
  </si>
  <si>
    <t xml:space="preserve">Mode de paiement </t>
  </si>
  <si>
    <t>AVANCE 5 (DH)</t>
  </si>
  <si>
    <t>RESTE</t>
  </si>
  <si>
    <t>M051</t>
  </si>
  <si>
    <t>HOUDA ELKHALIL</t>
  </si>
  <si>
    <t>CONSTRUCTION D`UN RDC + 2 ETAGES + PLAN BÉTON ARMÉE</t>
  </si>
  <si>
    <t>CHEQUE</t>
  </si>
  <si>
    <t>ESPECE</t>
  </si>
  <si>
    <t>CONSTRUCTION D`UN S.SOL + RDC +3 ETAGES + PLAN BÉTON ARMÉE</t>
  </si>
  <si>
    <t>M028</t>
  </si>
  <si>
    <t>CAHIER DE CHANTIER</t>
  </si>
  <si>
    <t>NUMERO</t>
  </si>
  <si>
    <t>Date de reception</t>
  </si>
  <si>
    <t>Date de négociation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</si>
  <si>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</si>
  <si>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</si>
  <si>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</si>
  <si>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</si>
  <si>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</si>
  <si>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</si>
  <si>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</si>
  <si>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</si>
  <si>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</si>
  <si>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</si>
  <si>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</si>
  <si>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</si>
  <si>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</si>
  <si>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</si>
  <si>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</si>
  <si>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</si>
  <si>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</si>
  <si>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</si>
  <si>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</si>
  <si>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</si>
  <si>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</si>
  <si>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</si>
  <si>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</si>
  <si>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</si>
  <si>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BG001</t>
  </si>
  <si>
    <t>BG002</t>
  </si>
  <si>
    <t>BG003</t>
  </si>
  <si>
    <t>BG004</t>
  </si>
  <si>
    <t>BG005</t>
  </si>
  <si>
    <t>BG006</t>
  </si>
  <si>
    <t>BG007</t>
  </si>
  <si>
    <t>BG008</t>
  </si>
  <si>
    <t>BG009</t>
  </si>
  <si>
    <t>BG010</t>
  </si>
  <si>
    <t>BG011</t>
  </si>
  <si>
    <t>BG012</t>
  </si>
  <si>
    <t>BG013</t>
  </si>
  <si>
    <t>BG014</t>
  </si>
  <si>
    <t>BG015</t>
  </si>
  <si>
    <t>ES01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</si>
  <si>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</si>
  <si>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</si>
  <si>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</si>
  <si>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</si>
  <si>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</si>
  <si>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</si>
  <si>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</si>
  <si>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</si>
  <si>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</si>
  <si>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</si>
  <si>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</si>
  <si>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ES13</t>
  </si>
  <si>
    <t>ES14</t>
  </si>
  <si>
    <t>ES15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</si>
  <si>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</si>
  <si>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</si>
  <si>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</si>
  <si>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</si>
  <si>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</si>
  <si>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</si>
  <si>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</si>
  <si>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</si>
  <si>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</si>
  <si>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</si>
  <si>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</si>
  <si>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</si>
  <si>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</si>
  <si>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</si>
  <si>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</si>
  <si>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</si>
  <si>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</si>
  <si>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</si>
  <si>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</si>
  <si>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</si>
  <si>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</si>
  <si>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</si>
  <si>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</si>
  <si>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</si>
  <si>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</si>
  <si>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</si>
  <si>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</si>
  <si>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</si>
  <si>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</si>
  <si>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Num ROKHAS</t>
  </si>
  <si>
    <t>SAIDA LAMQADAM</t>
  </si>
  <si>
    <t>JAOUAD ESSAFFAF</t>
  </si>
  <si>
    <t>ABDELHADI MELLAS</t>
  </si>
  <si>
    <t>ABDELJALIL AZIZ</t>
  </si>
  <si>
    <t>ZITOUNI HIDA</t>
  </si>
  <si>
    <t>NEZHA SAJOUD</t>
  </si>
  <si>
    <t>RIDA EZZOUITINI</t>
  </si>
  <si>
    <t>OUSSAMA RIZQU</t>
  </si>
  <si>
    <t>LAHBIB ELASRI</t>
  </si>
  <si>
    <t>SAID MAZOUZ</t>
  </si>
  <si>
    <t>ABDESSAMAD QADIRI</t>
  </si>
  <si>
    <t>ABDELKAREM ERREYAHI</t>
  </si>
  <si>
    <t>IMAD KANAR</t>
  </si>
  <si>
    <t>SALEH BENJEOUACH</t>
  </si>
  <si>
    <t>RACHIDA MAIZOU</t>
  </si>
  <si>
    <t>SAID LAAMIME</t>
  </si>
  <si>
    <t>EDDAHBY IBRAHIM</t>
  </si>
  <si>
    <t>YOUSSEF HOUSNI</t>
  </si>
  <si>
    <t>AAMER LAHCEN</t>
  </si>
  <si>
    <t>LAABISSI SOUFIANE</t>
  </si>
  <si>
    <t>HASSAN NOKRA</t>
  </si>
  <si>
    <t>ABDELKABIR BENSALAMA</t>
  </si>
  <si>
    <t>ABDELHAK DOUHAB</t>
  </si>
  <si>
    <t>SAFIA SAOUD</t>
  </si>
  <si>
    <t>KAMOUNI ABDERRAHIM</t>
  </si>
  <si>
    <t>BAHIJA AOUFIR</t>
  </si>
  <si>
    <t>HRIR ELHABIB</t>
  </si>
  <si>
    <t>RAJAA ELHAMDOU</t>
  </si>
  <si>
    <t>ABDELKHALEK HIMEUR</t>
  </si>
  <si>
    <t>HAMMAZ MOHAMED</t>
  </si>
  <si>
    <t>GHOUAGH NOUREDDINE</t>
  </si>
  <si>
    <t>LATIFA CHARRAK</t>
  </si>
  <si>
    <t>HICHAM KHAIY</t>
  </si>
  <si>
    <t>ABDELALY EL JOUDARI</t>
  </si>
  <si>
    <t>NADIFI AHMED</t>
  </si>
  <si>
    <t>OMAR EL ABBOUZ</t>
  </si>
  <si>
    <t>BADIA DRAIF</t>
  </si>
  <si>
    <t>ABDESSADEK ZIDAN</t>
  </si>
  <si>
    <t>AHMED ZKHIRI</t>
  </si>
  <si>
    <t>KHALID FAJRI</t>
  </si>
  <si>
    <t>SAID AZIZ</t>
  </si>
  <si>
    <t>OMAR RAMI</t>
  </si>
  <si>
    <t>ABDERRAHIM ELBAZ</t>
  </si>
  <si>
    <t>FANIDA DAHANY</t>
  </si>
  <si>
    <t>YOUSSEF ESSADEKY</t>
  </si>
  <si>
    <t>AHMED BEN SOMMAN</t>
  </si>
  <si>
    <t>LAHCEN RAFIA</t>
  </si>
  <si>
    <t>BOUJEMAA ELKHAY</t>
  </si>
  <si>
    <t>BAHIJA AMINE</t>
  </si>
  <si>
    <t>AZZEDINE HAIL</t>
  </si>
  <si>
    <t>OTHMANE EL IBRAHIMI</t>
  </si>
  <si>
    <t>BRAHIM ZINEB JOUNDAB</t>
  </si>
  <si>
    <t>ABDELOUAHED KHATRI</t>
  </si>
  <si>
    <t>OTHMANE EL KORRAI</t>
  </si>
  <si>
    <t>SIHAM GOUIOUEL</t>
  </si>
  <si>
    <t>DRISS ET HASSANIA</t>
  </si>
  <si>
    <t>REDOUANE ASLAOUI</t>
  </si>
  <si>
    <t>AHMED MANSOURI</t>
  </si>
  <si>
    <t>MOHAMED ELKADIRI</t>
  </si>
  <si>
    <t>NOUREDDINE KHAYRAT</t>
  </si>
  <si>
    <t>KHAOULA EL OMARI</t>
  </si>
  <si>
    <t>ABDELHAY AIT AMAR</t>
  </si>
  <si>
    <t>NADIRA DAHANI</t>
  </si>
  <si>
    <t>MOH EL BAHIA</t>
  </si>
  <si>
    <t>YOUSSEF EL MAH</t>
  </si>
  <si>
    <t>SOUFIANE EL AAMRI</t>
  </si>
  <si>
    <t>ABDELAAZIZ SAFROU</t>
  </si>
  <si>
    <t>HOUCINE TAJEDDINE</t>
  </si>
  <si>
    <t>DRISS AMAL</t>
  </si>
  <si>
    <t>AHMED GOUAL</t>
  </si>
  <si>
    <t>IBRAHIM NACHACH</t>
  </si>
  <si>
    <t>HAJAR KARIMI</t>
  </si>
  <si>
    <t>HAMZA CHAOUKI</t>
  </si>
  <si>
    <t>ALI ELKHOLTI</t>
  </si>
  <si>
    <t>LAKBIR CHAKIR</t>
  </si>
  <si>
    <t>MOHAMED JABHI</t>
  </si>
  <si>
    <t>ABDERRAZAQ CHAMSADI</t>
  </si>
  <si>
    <t>MUSTAPHA IBN ECHAYKH</t>
  </si>
  <si>
    <t>KAMAL THABIT</t>
  </si>
  <si>
    <t>YOUSSEF BARKI</t>
  </si>
  <si>
    <t>NAJIB ALIB</t>
  </si>
  <si>
    <t>ZOUHAIR ENNOKRA</t>
  </si>
  <si>
    <t>SAID KASSAB</t>
  </si>
  <si>
    <t>ABDELKABIR ESSAGHIRI</t>
  </si>
  <si>
    <t>EL OMRANY ABDELHAK</t>
  </si>
  <si>
    <t>EL MOUNABIH ABDELAZIZ</t>
  </si>
  <si>
    <t>ABDERRAHMAN FARISSI</t>
  </si>
  <si>
    <t>BOUCHRA JABAR</t>
  </si>
  <si>
    <t>MALIKA EL FAKIR</t>
  </si>
  <si>
    <t>TOURIA LAOUAJ</t>
  </si>
  <si>
    <t>EL HABIB DOUHAB</t>
  </si>
  <si>
    <t>RACHID BENHRAIT</t>
  </si>
  <si>
    <t>LAHOUSSINE AIT BIHI</t>
  </si>
  <si>
    <t>ISSAM HAMRI</t>
  </si>
  <si>
    <t>BEN ETTALB</t>
  </si>
  <si>
    <t>FARTAMIS ET ERREMYLY</t>
  </si>
  <si>
    <t>NADIA MAAROUF</t>
  </si>
  <si>
    <t>ABDELKHALEK FAIDA</t>
  </si>
  <si>
    <t>HAMID BOUHFID</t>
  </si>
  <si>
    <t>OMAR AZIZI / HAMID AIT SAID</t>
  </si>
  <si>
    <t xml:space="preserve">ABDELAAZIZ LAFRHYRI </t>
  </si>
  <si>
    <t xml:space="preserve">KARIM ESSAFOURI </t>
  </si>
  <si>
    <t>YOUSSEF EL KADOURI / MERYEM EL KADOURI</t>
  </si>
  <si>
    <t>RACHID RAHALI</t>
  </si>
  <si>
    <t>CHARIF ABDELMALEK NAJMI</t>
  </si>
  <si>
    <t>BRAHIM FOUZI</t>
  </si>
  <si>
    <t>IDRISS AMAZZANE / KALTOUMA SALHI</t>
  </si>
  <si>
    <t>ABDERRAHIM KASMI ET INANE</t>
  </si>
  <si>
    <t>MOH MABROUK</t>
  </si>
  <si>
    <t>SAMIR AZMRAY</t>
  </si>
  <si>
    <t>MOH HAMMAL /ZAKARIYA HAMMAL</t>
  </si>
  <si>
    <t>ABDELEFETTAH BEN HAJRA</t>
  </si>
  <si>
    <t>HAMID HAJJI</t>
  </si>
  <si>
    <t>ABDELJALIL EL MOUTRI</t>
  </si>
  <si>
    <t xml:space="preserve">LARBI OUAZRARI </t>
  </si>
  <si>
    <t xml:space="preserve">FARID BOUHLAL </t>
  </si>
  <si>
    <t xml:space="preserve">BRAHIM KHADIR </t>
  </si>
  <si>
    <t xml:space="preserve">ABDELLAH SBAI </t>
  </si>
  <si>
    <t xml:space="preserve">KHADIJA HILMI </t>
  </si>
  <si>
    <t xml:space="preserve">ILHAM ELALLAM </t>
  </si>
  <si>
    <t xml:space="preserve">BOUCHAIB ESSALMI </t>
  </si>
  <si>
    <t xml:space="preserve">AZIZ ZOUIDI ET JAMILA BOUNAGI </t>
  </si>
  <si>
    <t xml:space="preserve">EL MAHJOUB MRHIZLAT </t>
  </si>
  <si>
    <t>REDOUANE EL HAIDADOUI</t>
  </si>
  <si>
    <t>ELKOUHI MOHAMED</t>
  </si>
  <si>
    <t>SIDI MOHAMED ALLALI ET AYYOUB ALLALI</t>
  </si>
  <si>
    <t>EL ALALLI ANOUAR</t>
  </si>
  <si>
    <t>BRINI NOU-EDDINE</t>
  </si>
  <si>
    <t>ESSABRI ABDELMAJID</t>
  </si>
  <si>
    <t>EL IDRISSI NOUR-EDDINE ET ZAHIRAALLAMI</t>
  </si>
  <si>
    <t>BNETTALEB ABDELJALIL</t>
  </si>
  <si>
    <t>KATIB SAADIA</t>
  </si>
  <si>
    <t>MUSTAPHA EL BAHI</t>
  </si>
  <si>
    <t>MOURAD ET CHADIA</t>
  </si>
  <si>
    <t>ABDELAZIZ ALMOUSTANSIR</t>
  </si>
  <si>
    <t>ZINE-EL ABIDIN FIRMAN</t>
  </si>
  <si>
    <t>YOUSSEF GASSEM</t>
  </si>
  <si>
    <t>GHIZLANE CHEAIBI</t>
  </si>
  <si>
    <t>AHMED EL MEKAOUI</t>
  </si>
  <si>
    <t>HAMZA ELIDRISSI</t>
  </si>
  <si>
    <t>ABDELMOULA EL KOUAY</t>
  </si>
  <si>
    <t>ABDELALI SOUIBI ET HASSAN SOUIBI</t>
  </si>
  <si>
    <t xml:space="preserve"> MASBIM</t>
  </si>
  <si>
    <t>NADIA BOUSSELLAM</t>
  </si>
  <si>
    <t>RACHID MAZYAN</t>
  </si>
  <si>
    <t>IDRISS EL KHADIRI</t>
  </si>
  <si>
    <t>MOHAMED BEN ALLOU</t>
  </si>
  <si>
    <t>LAMSADY RADOUANE</t>
  </si>
  <si>
    <t>SAID HAFFOUDI</t>
  </si>
  <si>
    <t>ISMAIL EL MOUTTAKI</t>
  </si>
  <si>
    <t>ABDELAZIZ DRISSI</t>
  </si>
  <si>
    <t>LAKBIR TARGUI</t>
  </si>
  <si>
    <t>BRAHIM EL HITAR</t>
  </si>
  <si>
    <t>NOUREDDINE  LAAOUAKLY</t>
  </si>
  <si>
    <t>RABIA EL MOUTTAKI</t>
  </si>
  <si>
    <t>MALIKA NAFI</t>
  </si>
  <si>
    <t>HABIB HRIR</t>
  </si>
  <si>
    <t>MOHAMED RGUIBI</t>
  </si>
  <si>
    <t>M'BAKEK ECHALH</t>
  </si>
  <si>
    <t>MOHAMMED EL YAZIDI</t>
  </si>
  <si>
    <t>SALAHEDDINE ET ABDELTIF GOURE</t>
  </si>
  <si>
    <t>KHADIJA ETTOUMY</t>
  </si>
  <si>
    <t>OUALID BENAZZOUZ</t>
  </si>
  <si>
    <t>SAID ET-TABIIY</t>
  </si>
  <si>
    <t>NAJIB HAMSSI</t>
  </si>
  <si>
    <t>SAID MERHREB</t>
  </si>
  <si>
    <t>BRAHIM MOUTASSIM</t>
  </si>
  <si>
    <t>DRISS TAIA BRAHIM TAIA ENNAJIM TAIA</t>
  </si>
  <si>
    <t>KHALIL BAHA</t>
  </si>
  <si>
    <t>AICHA SELLAMI</t>
  </si>
  <si>
    <t>KHADIJA SGHURI</t>
  </si>
  <si>
    <t>ES-SABERY ELALAMI</t>
  </si>
  <si>
    <t>BOUJEMAA CHIGAR</t>
  </si>
  <si>
    <t>HICHAM BELALIA</t>
  </si>
  <si>
    <t>LAHOSSINE HAFDI</t>
  </si>
  <si>
    <t>ABDELJALIL MANDOUR</t>
  </si>
  <si>
    <t>DRISS EDDABBACH</t>
  </si>
  <si>
    <t>CHARAF OUARDI</t>
  </si>
  <si>
    <t>ABDELAZIZ ALOUAN</t>
  </si>
  <si>
    <t>OUADIA ZAFZAF</t>
  </si>
  <si>
    <t>CHAJRA MOHAMMED</t>
  </si>
  <si>
    <t>GHIZLANE MEKKAKI</t>
  </si>
  <si>
    <t>JAMAL OUCHIA</t>
  </si>
  <si>
    <t>OTHMANE MAHD</t>
  </si>
  <si>
    <t>ABDERRAHMANE AMLIEH</t>
  </si>
  <si>
    <t>ZOHRA RAZZOUQ</t>
  </si>
  <si>
    <t>OUALID EL BIAD</t>
  </si>
  <si>
    <t>EL JILALI BELAICHA</t>
  </si>
  <si>
    <t>ABDESSAMAD QADIRI (MODIFICATION)</t>
  </si>
  <si>
    <t xml:space="preserve">ATIKA EL MEKKAOUI </t>
  </si>
  <si>
    <t>ABDELILAH MAROUANE</t>
  </si>
  <si>
    <t>ABDELILAH MAHD</t>
  </si>
  <si>
    <t>DOUNIA BELHACHEMI</t>
  </si>
  <si>
    <t>ILHAME ETTAYEB</t>
  </si>
  <si>
    <t>ABDELHADI RHOURBAL</t>
  </si>
  <si>
    <t>MOHAMED BELHACHEMI</t>
  </si>
  <si>
    <t>ABDESSLAM NASSIRI</t>
  </si>
  <si>
    <t>SOUFIANE LAHMAD</t>
  </si>
  <si>
    <t>AISSAM HARDAN</t>
  </si>
  <si>
    <t>RABYA CHAHMA</t>
  </si>
  <si>
    <t>HANAN EL MAHFOUDY</t>
  </si>
  <si>
    <t>JAMAL BENTALEB</t>
  </si>
  <si>
    <t>FATIHA EL HAYANI - HAKIM ABDOUNE</t>
  </si>
  <si>
    <t>OTMAN ETTAHERY</t>
  </si>
  <si>
    <t xml:space="preserve">MUSTAPHA DRISSI </t>
  </si>
  <si>
    <t>HOUCINE TAJEDDINE LOT N° 56</t>
  </si>
  <si>
    <t>SOUAD ELGAZZAR ET HAMZA ELGAZZAR</t>
  </si>
  <si>
    <t>M025</t>
  </si>
  <si>
    <t>M026</t>
  </si>
  <si>
    <t>M027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</si>
  <si>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</si>
  <si>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</si>
  <si>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</si>
  <si>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</si>
  <si>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</si>
  <si>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</si>
  <si>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</si>
  <si>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</si>
  <si>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</si>
  <si>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</si>
  <si>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</si>
  <si>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</si>
  <si>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</si>
  <si>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</si>
  <si>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</si>
  <si>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</si>
  <si>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</si>
  <si>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</si>
  <si>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</si>
  <si>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</si>
  <si>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</si>
  <si>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</si>
  <si>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</si>
  <si>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</si>
  <si>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</si>
  <si>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</si>
  <si>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</si>
  <si>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</si>
  <si>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</si>
  <si>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</si>
  <si>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</si>
  <si>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</si>
  <si>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</si>
  <si>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</si>
  <si>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</si>
  <si>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</si>
  <si>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</si>
  <si>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</si>
  <si>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</si>
  <si>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</si>
  <si>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</si>
  <si>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</si>
  <si>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</si>
  <si>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</si>
  <si>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</si>
  <si>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</si>
  <si>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</si>
  <si>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</si>
  <si>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</si>
  <si>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</si>
  <si>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</si>
  <si>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</si>
  <si>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N° 051265</t>
  </si>
  <si>
    <t>N° 047933</t>
  </si>
  <si>
    <t>N° 049750</t>
  </si>
  <si>
    <t>N° 052138</t>
  </si>
  <si>
    <t>N° 052993</t>
  </si>
  <si>
    <t>N° 046057</t>
  </si>
  <si>
    <t>N° 052595</t>
  </si>
  <si>
    <t>N° 052585</t>
  </si>
  <si>
    <t>N° 051263</t>
  </si>
  <si>
    <t>N°051262</t>
  </si>
  <si>
    <t>N° 052523</t>
  </si>
  <si>
    <t>N° 049698</t>
  </si>
  <si>
    <t>N° 052524</t>
  </si>
  <si>
    <t>N° 052020</t>
  </si>
  <si>
    <t>N° 052539</t>
  </si>
  <si>
    <t>N° 053400</t>
  </si>
  <si>
    <t>N° 051344</t>
  </si>
  <si>
    <t>N° 050844</t>
  </si>
  <si>
    <t>N° 046466</t>
  </si>
  <si>
    <t>N° 054362</t>
  </si>
  <si>
    <t>N° 053783</t>
  </si>
  <si>
    <t>N° 054097</t>
  </si>
  <si>
    <t>N° 054556</t>
  </si>
  <si>
    <t>N° 054555</t>
  </si>
  <si>
    <t>N° 055287</t>
  </si>
  <si>
    <t>N° 054842</t>
  </si>
  <si>
    <t>N° 055284</t>
  </si>
  <si>
    <t>N° 055480</t>
  </si>
  <si>
    <t>N° 055288</t>
  </si>
  <si>
    <t>N° 055283</t>
  </si>
  <si>
    <t>N°055444</t>
  </si>
  <si>
    <t>N°054615</t>
  </si>
  <si>
    <t>N° 055144</t>
  </si>
  <si>
    <t>N° 055138</t>
  </si>
  <si>
    <t>N° 055142</t>
  </si>
  <si>
    <t>N° 055141</t>
  </si>
  <si>
    <t>N° 052519</t>
  </si>
  <si>
    <t>N° 055203</t>
  </si>
  <si>
    <t>N°055214</t>
  </si>
  <si>
    <t>N° 055228</t>
  </si>
  <si>
    <t>N° 055229</t>
  </si>
  <si>
    <t>N° 055140</t>
  </si>
  <si>
    <t>N° 054869</t>
  </si>
  <si>
    <t>N° 054893</t>
  </si>
  <si>
    <t>N° 054965</t>
  </si>
  <si>
    <t>N° 054249</t>
  </si>
  <si>
    <t>N° 054914</t>
  </si>
  <si>
    <t>N° 054824</t>
  </si>
  <si>
    <t>N°054777</t>
  </si>
  <si>
    <t>N° 054525</t>
  </si>
  <si>
    <t>N° 054726</t>
  </si>
  <si>
    <t>N° 052710</t>
  </si>
  <si>
    <t>N° 055512</t>
  </si>
  <si>
    <t>N° 055513</t>
  </si>
  <si>
    <t>N° 055490</t>
  </si>
  <si>
    <t>N° 055489</t>
  </si>
  <si>
    <t>N° 055257</t>
  </si>
  <si>
    <t>N° 055368</t>
  </si>
  <si>
    <t>N° 055514</t>
  </si>
  <si>
    <t>N° 055830</t>
  </si>
  <si>
    <t>N° 055795</t>
  </si>
  <si>
    <t>N° 055792</t>
  </si>
  <si>
    <t>N° 056077</t>
  </si>
  <si>
    <t>N° 056079</t>
  </si>
  <si>
    <t>N° 056081</t>
  </si>
  <si>
    <t>N° 056051</t>
  </si>
  <si>
    <t>N° 055841</t>
  </si>
  <si>
    <t>N° 056134</t>
  </si>
  <si>
    <t>N° 056133</t>
  </si>
  <si>
    <t>N° 056152</t>
  </si>
  <si>
    <t>N° 056151</t>
  </si>
  <si>
    <t>N° 056270</t>
  </si>
  <si>
    <t>N° 056271</t>
  </si>
  <si>
    <t>N° 054336</t>
  </si>
  <si>
    <t>N° 052532</t>
  </si>
  <si>
    <t>N° 052025</t>
  </si>
  <si>
    <t>N° 054369</t>
  </si>
  <si>
    <t>N° 050882</t>
  </si>
  <si>
    <t>N° 056295</t>
  </si>
  <si>
    <t>N° 055230</t>
  </si>
  <si>
    <t>N° 056297</t>
  </si>
  <si>
    <t>N° 056705</t>
  </si>
  <si>
    <t>N° 056706</t>
  </si>
  <si>
    <t>N° 056707</t>
  </si>
  <si>
    <t>N° 056472</t>
  </si>
  <si>
    <t>N° 056510</t>
  </si>
  <si>
    <t>N° 056509</t>
  </si>
  <si>
    <t>N° 056435</t>
  </si>
  <si>
    <t>N° 056708</t>
  </si>
  <si>
    <t>N° 056609</t>
  </si>
  <si>
    <t>N° 056738</t>
  </si>
  <si>
    <t>N° 056694</t>
  </si>
  <si>
    <t>N° 056693</t>
  </si>
  <si>
    <t>N° 056695</t>
  </si>
  <si>
    <t>N° 056696</t>
  </si>
  <si>
    <t>N° 056704</t>
  </si>
  <si>
    <t xml:space="preserve"> N° 056796</t>
  </si>
  <si>
    <t>N° 056828</t>
  </si>
  <si>
    <t>N° 056853</t>
  </si>
  <si>
    <t>N° 056825</t>
  </si>
  <si>
    <t>N° 056827</t>
  </si>
  <si>
    <t>N° 056865</t>
  </si>
  <si>
    <t>N° 056945</t>
  </si>
  <si>
    <t>N°057010</t>
  </si>
  <si>
    <t>N° 057014</t>
  </si>
  <si>
    <t>N° 057015</t>
  </si>
  <si>
    <t>N° 057020</t>
  </si>
  <si>
    <t>N° 057087</t>
  </si>
  <si>
    <t>N° 057084</t>
  </si>
  <si>
    <t>N°057217</t>
  </si>
  <si>
    <t>N°057366</t>
  </si>
  <si>
    <t>N°057486</t>
  </si>
  <si>
    <t>N°057557</t>
  </si>
  <si>
    <t>N°057558</t>
  </si>
  <si>
    <t>N°057577</t>
  </si>
  <si>
    <t>N°057600</t>
  </si>
  <si>
    <t>N°057636</t>
  </si>
  <si>
    <t>N°057692</t>
  </si>
  <si>
    <t>N°057695</t>
  </si>
  <si>
    <t>N°057804</t>
  </si>
  <si>
    <t>N°057768</t>
  </si>
  <si>
    <t>N°057743</t>
  </si>
  <si>
    <t>N°057852</t>
  </si>
  <si>
    <t>N°057742</t>
  </si>
  <si>
    <t>N°057920</t>
  </si>
  <si>
    <t>N°057943</t>
  </si>
  <si>
    <t>N°0058372</t>
  </si>
  <si>
    <t>N°058086</t>
  </si>
  <si>
    <t>N°058366</t>
  </si>
  <si>
    <t>N°058177</t>
  </si>
  <si>
    <t>N°058365</t>
  </si>
  <si>
    <t>N°058252</t>
  </si>
  <si>
    <t>N°058201</t>
  </si>
  <si>
    <t>N°058545</t>
  </si>
  <si>
    <t>N°058580</t>
  </si>
  <si>
    <t>N°0585628</t>
  </si>
  <si>
    <t>N°0585662</t>
  </si>
  <si>
    <t>N°058785</t>
  </si>
  <si>
    <t>N°058773</t>
  </si>
  <si>
    <t>N°058884</t>
  </si>
  <si>
    <t>N°058926</t>
  </si>
  <si>
    <t>N°059303</t>
  </si>
  <si>
    <t>N°058980</t>
  </si>
  <si>
    <t>N°0031</t>
  </si>
  <si>
    <t>N°0030</t>
  </si>
  <si>
    <t>N°0032</t>
  </si>
  <si>
    <t>N°0040</t>
  </si>
  <si>
    <t>N°0456</t>
  </si>
  <si>
    <t>N°1621</t>
  </si>
  <si>
    <t>N°0666</t>
  </si>
  <si>
    <t>N°0665</t>
  </si>
  <si>
    <t>N°0671</t>
  </si>
  <si>
    <t>N°0672</t>
  </si>
  <si>
    <t>N°0673</t>
  </si>
  <si>
    <t>N°0458</t>
  </si>
  <si>
    <t>N°0100</t>
  </si>
  <si>
    <t>N°0340</t>
  </si>
  <si>
    <t>N°0101</t>
  </si>
  <si>
    <t>N°0338</t>
  </si>
  <si>
    <t>N°0341</t>
  </si>
  <si>
    <t>N°0337</t>
  </si>
  <si>
    <t>N°0336</t>
  </si>
  <si>
    <t>N°0335</t>
  </si>
  <si>
    <t>N°0339</t>
  </si>
  <si>
    <t>N°0769</t>
  </si>
  <si>
    <t>N°0668</t>
  </si>
  <si>
    <t>N°0334</t>
  </si>
  <si>
    <t>N°0455</t>
  </si>
  <si>
    <t>N°0408</t>
  </si>
  <si>
    <t>N°0453</t>
  </si>
  <si>
    <t>N°0454</t>
  </si>
  <si>
    <t>N°1071</t>
  </si>
  <si>
    <t>N°1316</t>
  </si>
  <si>
    <t>N°1315</t>
  </si>
  <si>
    <t>N°1072</t>
  </si>
  <si>
    <t>N°0817</t>
  </si>
  <si>
    <t>N°0832</t>
  </si>
  <si>
    <t>N°1109</t>
  </si>
  <si>
    <t>N°11067</t>
  </si>
  <si>
    <t>N°1066</t>
  </si>
  <si>
    <t>N°1065</t>
  </si>
  <si>
    <t>N°1062</t>
  </si>
  <si>
    <t>N°0820</t>
  </si>
  <si>
    <t>N°0831</t>
  </si>
  <si>
    <t>N°0819</t>
  </si>
  <si>
    <t>N°1711</t>
  </si>
  <si>
    <t>N°1622</t>
  </si>
  <si>
    <t>N°1113</t>
  </si>
  <si>
    <t>N°1114</t>
  </si>
  <si>
    <t>MOHAMED EL MAKTABI</t>
  </si>
  <si>
    <t>ABDESSADEK HANINEDDAR</t>
  </si>
  <si>
    <t xml:space="preserve">STE OULA BUILDING </t>
  </si>
  <si>
    <t>ELAALAOUI FATIMA EZZAHRA</t>
  </si>
  <si>
    <t xml:space="preserve">BAOUM IMMOBILIER </t>
  </si>
  <si>
    <t>KAMAL EZZARKTOUNI</t>
  </si>
  <si>
    <t>OULA BUILDING LOT 26</t>
  </si>
  <si>
    <t>STE OULA BUILDING</t>
  </si>
  <si>
    <t>ABDERRAHMAN AIT AMAR</t>
  </si>
  <si>
    <t>OULA INVEST</t>
  </si>
  <si>
    <t>MUSTAPHA KASSAR</t>
  </si>
  <si>
    <t>OULA BUILDING LOT N 836 AZZOUZIA</t>
  </si>
  <si>
    <t>ABDELHAKIM ANGOUR</t>
  </si>
  <si>
    <t>MOHAMED BELBARAKA</t>
  </si>
  <si>
    <t>TOUFIQ GHRIBIL</t>
  </si>
  <si>
    <t>HICHAM RABAH</t>
  </si>
  <si>
    <t>AMLOU DE TALIWINE</t>
  </si>
  <si>
    <t>RADOUANE BERRADA</t>
  </si>
  <si>
    <t>AYOUR FOOD</t>
  </si>
  <si>
    <t>OUCHRIA EL HOUSSINE</t>
  </si>
  <si>
    <t>MARCHON HELENE</t>
  </si>
  <si>
    <t>ALEXANDRA HERBE</t>
  </si>
  <si>
    <t>MOH OUKNIN</t>
  </si>
  <si>
    <t>ZINEB SAIDI</t>
  </si>
  <si>
    <t>MEHRI YOUSSEF</t>
  </si>
  <si>
    <t>MHAMED RAHALI</t>
  </si>
  <si>
    <t xml:space="preserve">FRANCOIS ANDRE ET ERIC JEAN OHRISTIAN </t>
  </si>
  <si>
    <t xml:space="preserve">BOURDON DANY LOUIS CLOTAIRE </t>
  </si>
  <si>
    <t>HAMZA ET REDA GHAZOUANE</t>
  </si>
  <si>
    <t xml:space="preserve">STE OULA BULDING </t>
  </si>
  <si>
    <t>NAJAT EL KOUMAILI</t>
  </si>
  <si>
    <t>AANIBA ABDELATIF ET KARIMA ADRIOUICH</t>
  </si>
  <si>
    <t>SURAMO</t>
  </si>
  <si>
    <t>OUJBARA NAHI ABDELLAH ET OUKAILI SANAA</t>
  </si>
  <si>
    <t>JAAFARI MOHAMED ET FATIMAZZAHRA</t>
  </si>
  <si>
    <t>OULA LOT 22</t>
  </si>
  <si>
    <t>KOULLA ISMAIL</t>
  </si>
  <si>
    <t>FEHD ET TARIK</t>
  </si>
  <si>
    <t>STE JALLOULI IMMO</t>
  </si>
  <si>
    <t>AHMED EL MACHKOURI</t>
  </si>
  <si>
    <t>KHALID EL OUARIZI</t>
  </si>
  <si>
    <t>ELALAMI ES-SABERY</t>
  </si>
  <si>
    <t>EL MOKHTAR AZZOUZIA LOT 3</t>
  </si>
  <si>
    <t>STE 'FLORAZI'</t>
  </si>
  <si>
    <t xml:space="preserve"> CHOUAIB ZEROUANI ET ABDELLAH ELHAFIAN</t>
  </si>
  <si>
    <t>ABDELKABIR CHAOUB</t>
  </si>
  <si>
    <t>ADIL HAD (OUJBARA)</t>
  </si>
  <si>
    <t>MILOUD BIDJI</t>
  </si>
  <si>
    <t>STE ISKL BUILDING LOT 20H</t>
  </si>
  <si>
    <t>STE ISKL BUILDING LOT 11H</t>
  </si>
  <si>
    <t>STE ISKL BUILDING LOT 3H</t>
  </si>
  <si>
    <t>MOHAMED SADIKI ET HAMID ET ABDELOUAHID SADIKI</t>
  </si>
  <si>
    <t>ABDELHADI EL KOUMAILI LOT N 9</t>
  </si>
  <si>
    <t>SAID MAGDI</t>
  </si>
  <si>
    <t>RACHID EL FAHAM</t>
  </si>
  <si>
    <t>SAID MOUAKIT</t>
  </si>
  <si>
    <t>MORTADI RHIMOUTE</t>
  </si>
  <si>
    <t>IMAD BEN ETTALEB</t>
  </si>
  <si>
    <t>ABDELHAK AAJJANE</t>
  </si>
  <si>
    <t>EZ-ZARZOURI TARIK ET ELHASSAN</t>
  </si>
  <si>
    <t>N° 055945</t>
  </si>
  <si>
    <t>N° 056071</t>
  </si>
  <si>
    <t>N° 044340</t>
  </si>
  <si>
    <t>N° 050284</t>
  </si>
  <si>
    <t>N° 053825</t>
  </si>
  <si>
    <t>N° 053687</t>
  </si>
  <si>
    <t>N° 056248</t>
  </si>
  <si>
    <t>N° 050283</t>
  </si>
  <si>
    <t>N° 050285</t>
  </si>
  <si>
    <t>N° 051497</t>
  </si>
  <si>
    <t>N° 056249</t>
  </si>
  <si>
    <t>N° 055676</t>
  </si>
  <si>
    <t>N° 055692</t>
  </si>
  <si>
    <t>N° 053149</t>
  </si>
  <si>
    <t>N° 053618</t>
  </si>
  <si>
    <t>N° 053465</t>
  </si>
  <si>
    <t>N° 053746</t>
  </si>
  <si>
    <t>N°052748</t>
  </si>
  <si>
    <t>N° 053668</t>
  </si>
  <si>
    <t>N° 053788</t>
  </si>
  <si>
    <t>N° 054096</t>
  </si>
  <si>
    <t>N° 054037</t>
  </si>
  <si>
    <t>N° 054236</t>
  </si>
  <si>
    <t>N°0059030</t>
  </si>
  <si>
    <t>N°1314</t>
  </si>
  <si>
    <t>N°0058939</t>
  </si>
  <si>
    <t>N°051497</t>
  </si>
  <si>
    <t>N°0674</t>
  </si>
  <si>
    <t>N°1111</t>
  </si>
  <si>
    <t>N°1112</t>
  </si>
  <si>
    <t>N°1110</t>
  </si>
  <si>
    <t>N°1436</t>
  </si>
  <si>
    <t>N°1318</t>
  </si>
  <si>
    <t>N°1620</t>
  </si>
  <si>
    <t>N°1115</t>
  </si>
  <si>
    <t>N° 1433</t>
  </si>
  <si>
    <t>BG016</t>
  </si>
  <si>
    <t>BG017</t>
  </si>
  <si>
    <t>BG018</t>
  </si>
  <si>
    <t>BG019</t>
  </si>
  <si>
    <t>BG020</t>
  </si>
  <si>
    <t>BG021</t>
  </si>
  <si>
    <t>BG022</t>
  </si>
  <si>
    <t>BG023</t>
  </si>
  <si>
    <t>BG024</t>
  </si>
  <si>
    <t>BG025</t>
  </si>
  <si>
    <t>BG026</t>
  </si>
  <si>
    <t>BG027</t>
  </si>
  <si>
    <t>BG028</t>
  </si>
  <si>
    <t>BG029</t>
  </si>
  <si>
    <t>BG030</t>
  </si>
  <si>
    <t>BG031</t>
  </si>
  <si>
    <t>BG032</t>
  </si>
  <si>
    <t>BG033</t>
  </si>
  <si>
    <t>BG034</t>
  </si>
  <si>
    <t>BG035</t>
  </si>
  <si>
    <t>BG036</t>
  </si>
  <si>
    <t>BG037</t>
  </si>
  <si>
    <t>BG038</t>
  </si>
  <si>
    <t>BG039</t>
  </si>
  <si>
    <t>BG040</t>
  </si>
  <si>
    <t>BG041</t>
  </si>
  <si>
    <t>BG042</t>
  </si>
  <si>
    <t>BG043</t>
  </si>
  <si>
    <t>BG044</t>
  </si>
  <si>
    <t>BG045</t>
  </si>
  <si>
    <t>BG046</t>
  </si>
  <si>
    <t>BG047</t>
  </si>
  <si>
    <t>BG048</t>
  </si>
  <si>
    <t>BG049</t>
  </si>
  <si>
    <t>BG050</t>
  </si>
  <si>
    <t>BG051</t>
  </si>
  <si>
    <t>BG052</t>
  </si>
  <si>
    <t>BG053</t>
  </si>
  <si>
    <t>BG054</t>
  </si>
  <si>
    <t>BG055</t>
  </si>
  <si>
    <t>BG056</t>
  </si>
  <si>
    <t>BG057</t>
  </si>
  <si>
    <t>BG058</t>
  </si>
  <si>
    <t>BG059</t>
  </si>
  <si>
    <t>BG060</t>
  </si>
  <si>
    <t>BG061</t>
  </si>
  <si>
    <t>BG062</t>
  </si>
  <si>
    <t>BG063</t>
  </si>
  <si>
    <t>BG064</t>
  </si>
  <si>
    <t>BG065</t>
  </si>
  <si>
    <t>BG066</t>
  </si>
  <si>
    <t>BG067</t>
  </si>
  <si>
    <t>BG068</t>
  </si>
  <si>
    <t>BG069</t>
  </si>
  <si>
    <t>BG070</t>
  </si>
  <si>
    <t>BG071</t>
  </si>
  <si>
    <t>BG072</t>
  </si>
  <si>
    <t>BG073</t>
  </si>
  <si>
    <t>BG074</t>
  </si>
  <si>
    <t>BG075</t>
  </si>
  <si>
    <t>BG076</t>
  </si>
  <si>
    <t>BG077</t>
  </si>
  <si>
    <t>BG078</t>
  </si>
  <si>
    <t>BG079</t>
  </si>
  <si>
    <t>BG080</t>
  </si>
  <si>
    <t>BG081</t>
  </si>
  <si>
    <t>BG082</t>
  </si>
  <si>
    <t>BG083</t>
  </si>
  <si>
    <t>BG084</t>
  </si>
  <si>
    <t>BG085</t>
  </si>
  <si>
    <t>BG086</t>
  </si>
  <si>
    <t>BG087</t>
  </si>
  <si>
    <t>BG088</t>
  </si>
  <si>
    <t>BG089</t>
  </si>
  <si>
    <t>BG090</t>
  </si>
  <si>
    <t>BG091</t>
  </si>
  <si>
    <t>BG092</t>
  </si>
  <si>
    <t>BG093</t>
  </si>
  <si>
    <t>BG094</t>
  </si>
  <si>
    <t>BG095</t>
  </si>
  <si>
    <t>BG096</t>
  </si>
  <si>
    <t>BG097</t>
  </si>
  <si>
    <t>BG098</t>
  </si>
  <si>
    <t>BG099</t>
  </si>
  <si>
    <t>BG100</t>
  </si>
  <si>
    <t>BG101</t>
  </si>
  <si>
    <t>BG102</t>
  </si>
  <si>
    <t>BG103</t>
  </si>
  <si>
    <t>BG104</t>
  </si>
  <si>
    <t>BG105</t>
  </si>
  <si>
    <t>BG106</t>
  </si>
  <si>
    <t>BG107</t>
  </si>
  <si>
    <t>BG108</t>
  </si>
  <si>
    <t>BG109</t>
  </si>
  <si>
    <t>BG110</t>
  </si>
  <si>
    <t>BG111</t>
  </si>
  <si>
    <t>BG112</t>
  </si>
  <si>
    <t>BG113</t>
  </si>
  <si>
    <t>BG114</t>
  </si>
  <si>
    <t>BG115</t>
  </si>
  <si>
    <t>BG116</t>
  </si>
  <si>
    <t>BG117</t>
  </si>
  <si>
    <t>BG118</t>
  </si>
  <si>
    <t>BG119</t>
  </si>
  <si>
    <t>BG120</t>
  </si>
  <si>
    <t>BG121</t>
  </si>
  <si>
    <t>BG122</t>
  </si>
  <si>
    <t>BG123</t>
  </si>
  <si>
    <t>BG124</t>
  </si>
  <si>
    <t>BG125</t>
  </si>
  <si>
    <t>BG126</t>
  </si>
  <si>
    <t>BG127</t>
  </si>
  <si>
    <t>BG128</t>
  </si>
  <si>
    <t>BG129</t>
  </si>
  <si>
    <t>BG130</t>
  </si>
  <si>
    <t>BG131</t>
  </si>
  <si>
    <t>BG132</t>
  </si>
  <si>
    <t>BG133</t>
  </si>
  <si>
    <t>BG134</t>
  </si>
  <si>
    <t>BG135</t>
  </si>
  <si>
    <t>BG136</t>
  </si>
  <si>
    <t>BG137</t>
  </si>
  <si>
    <t>BG138</t>
  </si>
  <si>
    <t>BG139</t>
  </si>
  <si>
    <t>BG140</t>
  </si>
  <si>
    <t>BG141</t>
  </si>
  <si>
    <t>BG142</t>
  </si>
  <si>
    <t>BG143</t>
  </si>
  <si>
    <t>BG144</t>
  </si>
  <si>
    <t>BG145</t>
  </si>
  <si>
    <t>BG146</t>
  </si>
  <si>
    <t>BG147</t>
  </si>
  <si>
    <t>BG148</t>
  </si>
  <si>
    <t>BG149</t>
  </si>
  <si>
    <t>BG150</t>
  </si>
  <si>
    <t>BG151</t>
  </si>
  <si>
    <t>BG152</t>
  </si>
  <si>
    <t>BG153</t>
  </si>
  <si>
    <t>BG154</t>
  </si>
  <si>
    <t>BG155</t>
  </si>
  <si>
    <t>BG156</t>
  </si>
  <si>
    <t>BG157</t>
  </si>
  <si>
    <t>BG158</t>
  </si>
  <si>
    <t>BG159</t>
  </si>
  <si>
    <t>BG160</t>
  </si>
  <si>
    <t>BG161</t>
  </si>
  <si>
    <t>BG162</t>
  </si>
  <si>
    <t>BG163</t>
  </si>
  <si>
    <t>BG164</t>
  </si>
  <si>
    <t>BG165</t>
  </si>
  <si>
    <t>BG166</t>
  </si>
  <si>
    <t>BG167</t>
  </si>
  <si>
    <t>BG168</t>
  </si>
  <si>
    <t>BG169</t>
  </si>
  <si>
    <t>BG170</t>
  </si>
  <si>
    <t>BG171</t>
  </si>
  <si>
    <t>BG172</t>
  </si>
  <si>
    <t>BG173</t>
  </si>
  <si>
    <t>BG174</t>
  </si>
  <si>
    <t>BG175</t>
  </si>
  <si>
    <t>BG176</t>
  </si>
  <si>
    <t>BG177</t>
  </si>
  <si>
    <t>BG178</t>
  </si>
  <si>
    <t>BG179</t>
  </si>
  <si>
    <t>BG180</t>
  </si>
  <si>
    <t>BG181</t>
  </si>
  <si>
    <t>BG182</t>
  </si>
  <si>
    <t>BG183</t>
  </si>
  <si>
    <t>BG184</t>
  </si>
  <si>
    <t>BG185</t>
  </si>
  <si>
    <t>BG186</t>
  </si>
  <si>
    <t>BG187</t>
  </si>
  <si>
    <t>BG188</t>
  </si>
  <si>
    <t>BG189</t>
  </si>
  <si>
    <t>BG190</t>
  </si>
  <si>
    <t>BG191</t>
  </si>
  <si>
    <t>BG192</t>
  </si>
  <si>
    <t>BG193</t>
  </si>
  <si>
    <t>BG194</t>
  </si>
  <si>
    <t>BG195</t>
  </si>
  <si>
    <t>BG196</t>
  </si>
  <si>
    <t>BG197</t>
  </si>
  <si>
    <t>BG198</t>
  </si>
  <si>
    <t>BG199</t>
  </si>
  <si>
    <t>BG200</t>
  </si>
  <si>
    <t>BG201</t>
  </si>
  <si>
    <t>BG202</t>
  </si>
  <si>
    <t>BG203</t>
  </si>
  <si>
    <t>BG204</t>
  </si>
  <si>
    <t>BG205</t>
  </si>
  <si>
    <t>BG206</t>
  </si>
  <si>
    <t>BG207</t>
  </si>
  <si>
    <t>BG208</t>
  </si>
  <si>
    <t>BG209</t>
  </si>
  <si>
    <t>BG210</t>
  </si>
  <si>
    <t>BG211</t>
  </si>
  <si>
    <t>BG212</t>
  </si>
  <si>
    <t>ES16</t>
  </si>
  <si>
    <t>ES17</t>
  </si>
  <si>
    <t>ES18</t>
  </si>
  <si>
    <t>ES19</t>
  </si>
  <si>
    <t>ES20</t>
  </si>
  <si>
    <t>ES21</t>
  </si>
  <si>
    <t>ES22</t>
  </si>
  <si>
    <t>ES23</t>
  </si>
  <si>
    <t>ES24</t>
  </si>
  <si>
    <t>ES25</t>
  </si>
  <si>
    <t>ES26</t>
  </si>
  <si>
    <t>ES27</t>
  </si>
  <si>
    <t>ES28</t>
  </si>
  <si>
    <t>ES29</t>
  </si>
  <si>
    <t>ES30</t>
  </si>
  <si>
    <t>M.OMAR TAMESSAOUT</t>
  </si>
  <si>
    <t>ABDELLAH AZAFAD</t>
  </si>
  <si>
    <t>HASSAN AIT OUAHMANE</t>
  </si>
  <si>
    <t>HICHAM AMZIL</t>
  </si>
  <si>
    <t>RACHID AMROUD</t>
  </si>
  <si>
    <t>RACHID AFERDI</t>
  </si>
  <si>
    <t>ABDERRAHIM ECHAKMAOUI</t>
  </si>
  <si>
    <t>DAHMI NADIA</t>
  </si>
  <si>
    <t>AHMED EL MANSOUR</t>
  </si>
  <si>
    <t>HASSAN IZOUBAZ</t>
  </si>
  <si>
    <t>FADMA MOULAKHNIF</t>
  </si>
  <si>
    <t>MOHAMED OULOUDA</t>
  </si>
  <si>
    <t>YAHYA BOUAARFA</t>
  </si>
  <si>
    <t>HOUDA JAMAL EDDINE</t>
  </si>
  <si>
    <t xml:space="preserve">ZALIM BOUBKER </t>
  </si>
  <si>
    <t>SAID ELGAOUI</t>
  </si>
  <si>
    <t>LAHCEN ABAJJA</t>
  </si>
  <si>
    <t>ABDELLAZIZ EDDIHI</t>
  </si>
  <si>
    <t>MOHAMED AMINE DIKI</t>
  </si>
  <si>
    <t>MILOUD ERRAHALI</t>
  </si>
  <si>
    <t>LATIFA BOUKAMMOUS</t>
  </si>
  <si>
    <t xml:space="preserve">ABDELKABIR AIT OUCHEN </t>
  </si>
  <si>
    <t>MOHAMMED EL FAIDI</t>
  </si>
  <si>
    <t>EL HABIB MAGHLALI</t>
  </si>
  <si>
    <t>HAMID BOUFENZI</t>
  </si>
  <si>
    <t>YOUSSEF OUMANSOUR</t>
  </si>
  <si>
    <t>ES31</t>
  </si>
  <si>
    <t>ES32</t>
  </si>
  <si>
    <t>ES33</t>
  </si>
  <si>
    <t>ES34</t>
  </si>
  <si>
    <t>ES35</t>
  </si>
  <si>
    <t>ES36</t>
  </si>
  <si>
    <t>ES37</t>
  </si>
  <si>
    <t>N° 050957</t>
  </si>
  <si>
    <t>N° 050916</t>
  </si>
  <si>
    <t>N° 050607</t>
  </si>
  <si>
    <t>N° 051308</t>
  </si>
  <si>
    <t>N° 051401</t>
  </si>
  <si>
    <t>N° 051691</t>
  </si>
  <si>
    <t>N° 051748</t>
  </si>
  <si>
    <t>N° 051690</t>
  </si>
  <si>
    <t>N° 051944</t>
  </si>
  <si>
    <t>N° 052318</t>
  </si>
  <si>
    <t>N° 052382</t>
  </si>
  <si>
    <t>N° 052976</t>
  </si>
  <si>
    <t>N° 053357</t>
  </si>
  <si>
    <t>N° 054263</t>
  </si>
  <si>
    <t>N° 054337</t>
  </si>
  <si>
    <t>N° 053565</t>
  </si>
  <si>
    <t>N° 053540</t>
  </si>
  <si>
    <t>N° 053563</t>
  </si>
  <si>
    <t>N° 054254</t>
  </si>
  <si>
    <t>N° 054459</t>
  </si>
  <si>
    <t>N° 055083</t>
  </si>
  <si>
    <t>N°055077</t>
  </si>
  <si>
    <t>N° 055601</t>
  </si>
  <si>
    <t>N° 055600</t>
  </si>
  <si>
    <t>N° 0558958</t>
  </si>
  <si>
    <t>N° 0410</t>
  </si>
  <si>
    <t>N°0838</t>
  </si>
  <si>
    <t>ABDELJALIL AIT OUNESS</t>
  </si>
  <si>
    <t>ABDELMAJID AIT EL CAID</t>
  </si>
  <si>
    <t>LAHCEN AIT HAMMOU ET CONSORTS</t>
  </si>
  <si>
    <t>OMAR OUJHAINE</t>
  </si>
  <si>
    <t>MOHAMMAD OUBRA</t>
  </si>
  <si>
    <t>TOUFIQ MIMMED</t>
  </si>
  <si>
    <t>BRAHIM WARDI</t>
  </si>
  <si>
    <t>TALBI YOUSSEF</t>
  </si>
  <si>
    <t xml:space="preserve">ABDELHADI OUAJRADA </t>
  </si>
  <si>
    <t xml:space="preserve">JAMAL ET TIBARY </t>
  </si>
  <si>
    <t xml:space="preserve">EL HOUSSEINE OUTALAT </t>
  </si>
  <si>
    <t>ABID CHOUKRI</t>
  </si>
  <si>
    <t>BASSIT SOUAD</t>
  </si>
  <si>
    <t>ABDELHAKIM AIT BELAID</t>
  </si>
  <si>
    <t>AYOUB BAHDOUL</t>
  </si>
  <si>
    <t>OMAR BAHRA</t>
  </si>
  <si>
    <t>FATIMA AIT ATMANE</t>
  </si>
  <si>
    <t>HICHAM SAHOUB</t>
  </si>
  <si>
    <t>ASSOCIATION DE L'AVENIR</t>
  </si>
  <si>
    <t>MOHAMED OUMANSSOUR</t>
  </si>
  <si>
    <t>MOHAMED EZZAHI</t>
  </si>
  <si>
    <t>ABDERRAHIM AIT OUFKIR</t>
  </si>
  <si>
    <t>LHOUSSAINE ARAFOUCH</t>
  </si>
  <si>
    <t>NADIA LACHHAB</t>
  </si>
  <si>
    <t>IJJOU BOUKNOUCH</t>
  </si>
  <si>
    <t>RACHIDA BERRICH</t>
  </si>
  <si>
    <t>IMANE MARDA ET KHALID BOUILGHMANE</t>
  </si>
  <si>
    <t>JEDDARI M'HAMED</t>
  </si>
  <si>
    <t>SAIM'DIQ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</si>
  <si>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</si>
  <si>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</si>
  <si>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</si>
  <si>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</si>
  <si>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</si>
  <si>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</si>
  <si>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</si>
  <si>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</si>
  <si>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</si>
  <si>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</si>
  <si>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</si>
  <si>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</si>
  <si>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</si>
  <si>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N° 053506</t>
  </si>
  <si>
    <t>N°056691</t>
  </si>
  <si>
    <t>N°053539</t>
  </si>
  <si>
    <t>N° 055565</t>
  </si>
  <si>
    <t>N° 055560</t>
  </si>
  <si>
    <t>N°055561</t>
  </si>
  <si>
    <t>N°055586</t>
  </si>
  <si>
    <t>N°055562</t>
  </si>
  <si>
    <t>N° 057033</t>
  </si>
  <si>
    <t>N° 075035</t>
  </si>
  <si>
    <t>N° 057062</t>
  </si>
  <si>
    <t>N° 057061</t>
  </si>
  <si>
    <t>N° 057967</t>
  </si>
  <si>
    <t>N° 058028</t>
  </si>
  <si>
    <t>N° 058548</t>
  </si>
  <si>
    <t>N° 0058928</t>
  </si>
  <si>
    <t>N° 0059230</t>
  </si>
  <si>
    <t>N° 0059037</t>
  </si>
  <si>
    <t>N° 0059036</t>
  </si>
  <si>
    <t>N°1434</t>
  </si>
  <si>
    <t>N°0355</t>
  </si>
  <si>
    <t>N°0366</t>
  </si>
  <si>
    <t>N°1319</t>
  </si>
  <si>
    <t>N°1320</t>
  </si>
  <si>
    <t>N°0818</t>
  </si>
  <si>
    <t>N°1296</t>
  </si>
  <si>
    <t>N°0684</t>
  </si>
  <si>
    <t>N°1064</t>
  </si>
  <si>
    <t>N°1063</t>
  </si>
  <si>
    <t>N°1712</t>
  </si>
  <si>
    <t>N°1619</t>
  </si>
  <si>
    <t>SG01</t>
  </si>
  <si>
    <t>SG02</t>
  </si>
  <si>
    <t>SG03</t>
  </si>
  <si>
    <t>SG04</t>
  </si>
  <si>
    <t>SG05</t>
  </si>
  <si>
    <t>SG06</t>
  </si>
  <si>
    <t>SG07</t>
  </si>
  <si>
    <t>SG08</t>
  </si>
  <si>
    <t>SG09</t>
  </si>
  <si>
    <t>SG10</t>
  </si>
  <si>
    <t>SG11</t>
  </si>
  <si>
    <t>SG12</t>
  </si>
  <si>
    <t>SG13</t>
  </si>
  <si>
    <t>SG14</t>
  </si>
  <si>
    <t xml:space="preserve">ZAHRA MOUNTASSIR </t>
  </si>
  <si>
    <t xml:space="preserve">EL KEBIR ROUIS </t>
  </si>
  <si>
    <t>RAJAA NJARI</t>
  </si>
  <si>
    <t>EL KAMLI  KHALIL  ET ABDESSADEQ</t>
  </si>
  <si>
    <t>AKRAM EL KAMLI</t>
  </si>
  <si>
    <t>MOHAMED ANASS CHANNAOUI</t>
  </si>
  <si>
    <t>ABDELLAH EL MONAJIM</t>
  </si>
  <si>
    <t>N° 050855</t>
  </si>
  <si>
    <t>N°0457</t>
  </si>
  <si>
    <t xml:space="preserve"> </t>
  </si>
  <si>
    <t>date de Delivrance</t>
  </si>
  <si>
    <t>date delivrance</t>
  </si>
  <si>
    <r>
      <t xml:space="preserve">CONSTRUCTION D`UN S.SOL + RDC +3 ETAGES + PLAN BÉTON ARMÉE </t>
    </r>
    <r>
      <rPr>
        <sz val="11"/>
        <color rgb="FFFF0000"/>
        <rFont val="Times New Roman"/>
        <family val="1"/>
      </rPr>
      <t>(10000 dh)</t>
    </r>
    <r>
      <rPr>
        <sz val="11"/>
        <color theme="1"/>
        <rFont val="Times New Roman"/>
        <family val="1"/>
      </rPr>
      <t>/ CERTIFICAT DE PROPRIETE + PLAN CADASTRAL + CALCUL DE CONTENANCE (</t>
    </r>
    <r>
      <rPr>
        <sz val="11"/>
        <color rgb="FFFF0000"/>
        <rFont val="Times New Roman"/>
        <family val="1"/>
      </rPr>
      <t>215dh</t>
    </r>
    <r>
      <rPr>
        <sz val="11"/>
        <color theme="1"/>
        <rFont val="Times New Roman"/>
        <family val="1"/>
      </rPr>
      <t>)</t>
    </r>
  </si>
  <si>
    <t>VIREMENT</t>
  </si>
  <si>
    <t xml:space="preserve">MODIFICATION D’UN RDC ET SURÉLÉVATION DE 4 ÉTAGES + CHANGEMENT DE NOM </t>
  </si>
  <si>
    <r>
      <t>PLAN BÉTON ARMÉE + SUIVIS</t>
    </r>
    <r>
      <rPr>
        <sz val="11"/>
        <color rgb="FFFF0000"/>
        <rFont val="Times New Roman"/>
        <family val="1"/>
      </rPr>
      <t>(5000dh)</t>
    </r>
    <r>
      <rPr>
        <sz val="11"/>
        <color theme="1"/>
        <rFont val="Times New Roman"/>
        <family val="1"/>
      </rPr>
      <t>/  DOSSIER TECHNIQUE (LABORATOIRE)</t>
    </r>
    <r>
      <rPr>
        <sz val="11"/>
        <color rgb="FFFF0000"/>
        <rFont val="Times New Roman"/>
        <family val="1"/>
      </rPr>
      <t>2500 dh</t>
    </r>
    <r>
      <rPr>
        <sz val="11"/>
        <color theme="1"/>
        <rFont val="Times New Roman"/>
        <family val="1"/>
      </rPr>
      <t>/DOSSIER TECHNIQUE (BUREAU DE CONTRÔLE)</t>
    </r>
    <r>
      <rPr>
        <sz val="11"/>
        <color rgb="FFFF0000"/>
        <rFont val="Times New Roman"/>
        <family val="1"/>
      </rPr>
      <t xml:space="preserve"> 1500 dh</t>
    </r>
    <r>
      <rPr>
        <sz val="11"/>
        <color theme="1"/>
        <rFont val="Times New Roman"/>
        <family val="1"/>
      </rPr>
      <t>/ DOSSIER TECHNIQUE (TOPOGRAPHE)</t>
    </r>
    <r>
      <rPr>
        <sz val="11"/>
        <color rgb="FFFF0000"/>
        <rFont val="Times New Roman"/>
        <family val="1"/>
      </rPr>
      <t xml:space="preserve"> 1200dh </t>
    </r>
  </si>
  <si>
    <r>
      <t xml:space="preserve">PLAN BÉTON ARMÉE + SUIVIS </t>
    </r>
    <r>
      <rPr>
        <sz val="11"/>
        <color rgb="FFFF0000"/>
        <rFont val="Times New Roman"/>
        <family val="1"/>
      </rPr>
      <t>6000dh</t>
    </r>
    <r>
      <rPr>
        <sz val="11"/>
        <color theme="1"/>
        <rFont val="Times New Roman"/>
        <family val="1"/>
      </rPr>
      <t xml:space="preserve">/DOSSIER TECHNIQUE (LABORATOIRE) </t>
    </r>
    <r>
      <rPr>
        <sz val="11"/>
        <color rgb="FFFF0000"/>
        <rFont val="Times New Roman"/>
        <family val="1"/>
      </rPr>
      <t>3000dh</t>
    </r>
    <r>
      <rPr>
        <sz val="11"/>
        <color theme="1"/>
        <rFont val="Times New Roman"/>
        <family val="1"/>
      </rPr>
      <t xml:space="preserve">/DOSSIER TECHNIQUE (BUREAU DE CONTRÔLE) </t>
    </r>
    <r>
      <rPr>
        <sz val="11"/>
        <color rgb="FFFF0000"/>
        <rFont val="Times New Roman"/>
        <family val="1"/>
      </rPr>
      <t>2000dh</t>
    </r>
    <r>
      <rPr>
        <sz val="11"/>
        <color theme="1"/>
        <rFont val="Times New Roman"/>
        <family val="1"/>
      </rPr>
      <t xml:space="preserve">/DOSSIER TECHNIQUE (TOPOGRAPHE) </t>
    </r>
    <r>
      <rPr>
        <sz val="11"/>
        <color rgb="FFFF0000"/>
        <rFont val="Times New Roman"/>
        <family val="1"/>
      </rPr>
      <t>1500 dh</t>
    </r>
  </si>
  <si>
    <r>
      <t>CONSTRUCTION D`UN RDC + 2 ETAGES + PLAN BÉTON ARMÉE</t>
    </r>
    <r>
      <rPr>
        <sz val="11"/>
        <color rgb="FFFF0000"/>
        <rFont val="Calibri"/>
        <family val="2"/>
        <scheme val="minor"/>
      </rPr>
      <t xml:space="preserve"> 8000 DH</t>
    </r>
    <r>
      <rPr>
        <sz val="11"/>
        <color theme="1"/>
        <rFont val="Calibri"/>
        <family val="2"/>
        <scheme val="minor"/>
      </rPr>
      <t>/CERTIFICAT DE PROPREITE</t>
    </r>
    <r>
      <rPr>
        <sz val="11"/>
        <color rgb="FFFF0000"/>
        <rFont val="Calibri"/>
        <family val="2"/>
        <scheme val="minor"/>
      </rPr>
      <t xml:space="preserve"> 100 </t>
    </r>
    <r>
      <rPr>
        <sz val="11"/>
        <color theme="1"/>
        <rFont val="Calibri"/>
        <family val="2"/>
        <scheme val="minor"/>
      </rPr>
      <t xml:space="preserve">DH/TOPOGRAPHE </t>
    </r>
    <r>
      <rPr>
        <sz val="11"/>
        <color rgb="FFFF0000"/>
        <rFont val="Calibri"/>
        <family val="2"/>
        <scheme val="minor"/>
      </rPr>
      <t>1200 DH</t>
    </r>
  </si>
  <si>
    <t>ÉTUDE ARCHITECTURAL CONSTRUCTION D`UN RDC + 2 ETAGES + PLAN BÉTON ARMÉE + TOPOGRAPHE + CERTIFICAT DE PROPRIETE + PLAN CADASTARL ET CALCUL DE CONTENANCE</t>
  </si>
  <si>
    <t>ETUDE ARCHITECTURAL: STATION DE SERVICE</t>
  </si>
  <si>
    <t>ETUDE ARCHITECTURAL: LOGEMENT EN R+3 AVEC S,SOL</t>
  </si>
  <si>
    <t>VIR CREDIT AGRICOL</t>
  </si>
  <si>
    <r>
      <t xml:space="preserve">CONSTRUCTION D'UN S.SOL +R+2 </t>
    </r>
    <r>
      <rPr>
        <sz val="11"/>
        <color rgb="FFFF0000"/>
        <rFont val="Calibri"/>
        <family val="2"/>
        <scheme val="minor"/>
      </rPr>
      <t>11000 DH</t>
    </r>
    <r>
      <rPr>
        <sz val="11"/>
        <color theme="1"/>
        <rFont val="Calibri"/>
        <family val="2"/>
        <scheme val="minor"/>
      </rPr>
      <t>/CERTIFICAT DE PROPRIETE</t>
    </r>
    <r>
      <rPr>
        <sz val="11"/>
        <color rgb="FFFF0000"/>
        <rFont val="Calibri"/>
        <family val="2"/>
        <scheme val="minor"/>
      </rPr>
      <t xml:space="preserve"> 100DH</t>
    </r>
    <r>
      <rPr>
        <sz val="11"/>
        <color theme="1"/>
        <rFont val="Calibri"/>
        <family val="2"/>
        <scheme val="minor"/>
      </rPr>
      <t xml:space="preserve">/CALCUL DE CONTENANCE </t>
    </r>
    <r>
      <rPr>
        <sz val="11"/>
        <color rgb="FFFF0000"/>
        <rFont val="Calibri"/>
        <family val="2"/>
        <scheme val="minor"/>
      </rPr>
      <t xml:space="preserve">15 </t>
    </r>
    <r>
      <rPr>
        <sz val="11"/>
        <color theme="1"/>
        <rFont val="Calibri"/>
        <family val="2"/>
        <scheme val="minor"/>
      </rPr>
      <t>DH/NOTICE DE SECURITE</t>
    </r>
    <r>
      <rPr>
        <sz val="11"/>
        <color rgb="FFFF0000"/>
        <rFont val="Calibri"/>
        <family val="2"/>
        <scheme val="minor"/>
      </rPr>
      <t xml:space="preserve"> 1500DH</t>
    </r>
  </si>
  <si>
    <t>YOUNES TAOUFIQ</t>
  </si>
  <si>
    <t xml:space="preserve">ETUDE ARCHITECTURAL:  CONSTRUCTION D'UN LOGEMENT EN R+2 +PLAN BETON ARMEE +TOPOGRAPHE </t>
  </si>
  <si>
    <t>ÉTUDE ARCHITECTURAL D'UN COMPLEXE TOURISTIQUE</t>
  </si>
  <si>
    <r>
      <t xml:space="preserve">ETUDE ARCHITECTURAL: LOGEMENT EN R+2 </t>
    </r>
    <r>
      <rPr>
        <sz val="11"/>
        <color rgb="FFFF0000"/>
        <rFont val="Calibri"/>
        <family val="2"/>
        <scheme val="minor"/>
      </rPr>
      <t>7000DH</t>
    </r>
    <r>
      <rPr>
        <sz val="11"/>
        <color theme="1"/>
        <rFont val="Calibri"/>
        <family val="2"/>
        <scheme val="minor"/>
      </rPr>
      <t>/ BUREAU D'ETUDES + SUIVI</t>
    </r>
    <r>
      <rPr>
        <sz val="11"/>
        <color rgb="FFFF0000"/>
        <rFont val="Calibri"/>
        <family val="2"/>
        <scheme val="minor"/>
      </rPr>
      <t xml:space="preserve"> 2800 DH</t>
    </r>
    <r>
      <rPr>
        <sz val="11"/>
        <color theme="1"/>
        <rFont val="Calibri"/>
        <family val="2"/>
        <scheme val="minor"/>
      </rPr>
      <t xml:space="preserve">/ TOPOGRAPHE </t>
    </r>
    <r>
      <rPr>
        <sz val="11"/>
        <color rgb="FFFF0000"/>
        <rFont val="Calibri"/>
        <family val="2"/>
        <scheme val="minor"/>
      </rPr>
      <t>1200</t>
    </r>
    <r>
      <rPr>
        <sz val="11"/>
        <color theme="1"/>
        <rFont val="Calibri"/>
        <family val="2"/>
        <scheme val="minor"/>
      </rPr>
      <t xml:space="preserve"> DH</t>
    </r>
  </si>
  <si>
    <r>
      <t xml:space="preserve">ETUDE ARCHITECTURAL: LOGEMENT EN R+3 + S,SOL </t>
    </r>
    <r>
      <rPr>
        <sz val="11"/>
        <color theme="1"/>
        <rFont val="Calibri"/>
        <family val="2"/>
        <scheme val="minor"/>
      </rPr>
      <t>/ PLAN BETON ARMEE</t>
    </r>
  </si>
  <si>
    <t xml:space="preserve"> 
MAITRE D’OUVRAGE </t>
  </si>
  <si>
    <r>
      <t xml:space="preserve">CONSTRUCTION D`UN S.SOL + RDC +3 ETAGES + PLAN BÉTON ARMÉE </t>
    </r>
    <r>
      <rPr>
        <sz val="11"/>
        <color rgb="FFFF0000"/>
        <rFont val="Times New Roman"/>
        <family val="1"/>
      </rPr>
      <t>18000 dh</t>
    </r>
    <r>
      <rPr>
        <sz val="11"/>
        <color theme="1"/>
        <rFont val="Times New Roman"/>
        <family val="1"/>
      </rPr>
      <t>/ DOSSIER TECHNIQUE (LABORATOIRE)</t>
    </r>
    <r>
      <rPr>
        <sz val="11"/>
        <color rgb="FFFF0000"/>
        <rFont val="Times New Roman"/>
        <family val="1"/>
      </rPr>
      <t>2000 dh</t>
    </r>
    <r>
      <rPr>
        <sz val="11"/>
        <color theme="1"/>
        <rFont val="Times New Roman"/>
        <family val="1"/>
      </rPr>
      <t xml:space="preserve">/DOSSIER TECHNIQUE (BUREAU DE CONTRÔLE </t>
    </r>
    <r>
      <rPr>
        <sz val="11"/>
        <color rgb="FFFF0000"/>
        <rFont val="Times New Roman"/>
        <family val="1"/>
      </rPr>
      <t>2000dh</t>
    </r>
    <r>
      <rPr>
        <sz val="11"/>
        <color theme="1"/>
        <rFont val="Times New Roman"/>
        <family val="1"/>
      </rPr>
      <t>/  DOSSIER TECHNIQUE (TOPOGRAPHE)</t>
    </r>
    <r>
      <rPr>
        <sz val="11"/>
        <color rgb="FFFF0000"/>
        <rFont val="Times New Roman"/>
        <family val="1"/>
      </rPr>
      <t xml:space="preserve"> 1500 dh</t>
    </r>
    <r>
      <rPr>
        <sz val="11"/>
        <color theme="1"/>
        <rFont val="Times New Roman"/>
        <family val="1"/>
      </rPr>
      <t xml:space="preserve">/COMMUNE HARBIL TAXES </t>
    </r>
    <r>
      <rPr>
        <sz val="11"/>
        <color rgb="FFFF0000"/>
        <rFont val="Times New Roman"/>
        <family val="1"/>
      </rPr>
      <t>5000dh</t>
    </r>
  </si>
  <si>
    <t>0666823801</t>
  </si>
  <si>
    <t>H043</t>
  </si>
  <si>
    <t>H044</t>
  </si>
  <si>
    <r>
      <t xml:space="preserve">ETUDE ARCHITECTURAL: LOTISSEMENT EL YASSAMIN </t>
    </r>
    <r>
      <rPr>
        <sz val="11"/>
        <color rgb="FFFF0000"/>
        <rFont val="Times New Roman"/>
        <family val="1"/>
      </rPr>
      <t>70000 DH</t>
    </r>
    <r>
      <rPr>
        <sz val="11"/>
        <color theme="1"/>
        <rFont val="Times New Roman"/>
        <family val="1"/>
      </rPr>
      <t>/ NOTES DE RENSEIGNEMENT</t>
    </r>
    <r>
      <rPr>
        <sz val="11"/>
        <color rgb="FFFF0000"/>
        <rFont val="Times New Roman"/>
        <family val="1"/>
      </rPr>
      <t xml:space="preserve"> 600DH</t>
    </r>
    <r>
      <rPr>
        <sz val="11"/>
        <color theme="1"/>
        <rFont val="Times New Roman"/>
        <family val="1"/>
      </rPr>
      <t xml:space="preserve">/PLANS CADASTRAL </t>
    </r>
    <r>
      <rPr>
        <sz val="11"/>
        <color rgb="FFFF0000"/>
        <rFont val="Times New Roman"/>
        <family val="1"/>
      </rPr>
      <t>300 DH</t>
    </r>
  </si>
  <si>
    <t>LOTISSEMENT TAIB 3 N° 105</t>
  </si>
  <si>
    <t>TAIB III LOT N 47</t>
  </si>
  <si>
    <t>CONSTRUCTION R+1</t>
  </si>
  <si>
    <t>SIDI ABDELLAH GHIYATE ,CHOUITER LOT N° 56-595</t>
  </si>
  <si>
    <t>CONSTRUCTION R+2</t>
  </si>
  <si>
    <t>CONSTRUCTION R+3</t>
  </si>
  <si>
    <t>CONSTRUCTION R+2+ S.SOL</t>
  </si>
  <si>
    <t>LOT AL MASSAR RUE SAFI N 691-M</t>
  </si>
  <si>
    <t>AZZOUZIA II LOT 880</t>
  </si>
  <si>
    <t>LOTISSEMENT TAIB 3 N 129</t>
  </si>
  <si>
    <t>CONSTRUCTION D'UNLOGEMENT R,</t>
  </si>
  <si>
    <t>DOUAR OULED BRAHIM</t>
  </si>
  <si>
    <t>LOTISSEMENT MLY SMAIL-364, NOUVELLE VILLE DE TAMANSOURTE</t>
  </si>
  <si>
    <t>JARDINS YASSMINE LOT N° 153 ,NOUVELLE VILLE TAMENSOURT</t>
  </si>
  <si>
    <t>LOTISSEMENT ZOHOUR N° 87</t>
  </si>
  <si>
    <t>LOTISSEMENT TAIB 3 LOT N 9</t>
  </si>
  <si>
    <t>LOTISSEMENT AZAHRAE NR 28 , NOUVELLE VILLE TAMANSOURTE</t>
  </si>
  <si>
    <t>LOTISSEMENT AL FAJR – C51 .TASSOULTANTE . MARRAKECH</t>
  </si>
  <si>
    <t xml:space="preserve"> LOTISSEMENT ZOHOUR N° 75</t>
  </si>
  <si>
    <t>LOTISSEMENT TAIB 3 N° 57</t>
  </si>
  <si>
    <t>AL MASSAR N° 523</t>
  </si>
  <si>
    <t>MARRAKECH LOT TAIB 3</t>
  </si>
  <si>
    <t xml:space="preserve">SOUHAILA NEHHAL </t>
  </si>
  <si>
    <t>Nouvelle ville Tamensourt N° 56 . Lotissement Al Kawtar</t>
  </si>
  <si>
    <t xml:space="preserve"> LOT ALKAOUTAR 89 NOUVELLE VILLE TAMENSOURT</t>
  </si>
  <si>
    <t>LOT ALKAOUTAR 90 NOUVELLE VILLE TAMENSOURT</t>
  </si>
  <si>
    <t>ABDELLAH OUJBARA-NAHI ET ABDEIDAIM RHAZI</t>
  </si>
  <si>
    <t>EL AZZOUZIA</t>
  </si>
  <si>
    <t>LOT MLY ISMAIL. VILLE DE TAMNSOURT</t>
  </si>
  <si>
    <t>LOTISSEMENT TAIB 3 - N° 66</t>
  </si>
  <si>
    <t xml:space="preserve">ABDELHADI EL KOUMAILI LOT N 10 </t>
  </si>
  <si>
    <t>LOTISSEMENT TAIB 3 N° 10</t>
  </si>
  <si>
    <t>LOTISSEMENT TAIB 3 N° 46</t>
  </si>
  <si>
    <t>TASSO CENTRE DE BEN GUERIR</t>
  </si>
  <si>
    <t>EL HASSIA DR AIT YASSINE CR AIT HAMMOU</t>
  </si>
  <si>
    <t>CHOUITER 68-261</t>
  </si>
  <si>
    <t>LAKHNIG TAKI,BOURROUS</t>
  </si>
  <si>
    <t>STE DIL-INVEST IMMO SARL/ BADR DILAGUI</t>
  </si>
  <si>
    <t>CONSTRUCTION D'UN S.SOL + R+4 ETAGES</t>
  </si>
  <si>
    <t>AZZOUZIA II N 395</t>
  </si>
  <si>
    <t>PROVINCE MARRAKECH COMMUNE HARBIL VILLE TAMANSOURT LOTISSEMENT AL MOSTAKBAL</t>
  </si>
  <si>
    <t xml:space="preserve">LAHOUCUNE ADERDOUR ET MOHAMED </t>
  </si>
  <si>
    <r>
      <t xml:space="preserve">LOTISSEMENT </t>
    </r>
    <r>
      <rPr>
        <sz val="10"/>
        <color rgb="FFFF0000"/>
        <rFont val="Times New Roman"/>
        <family val="1"/>
      </rPr>
      <t>GREENHORIZON</t>
    </r>
    <r>
      <rPr>
        <sz val="10"/>
        <rFont val="Times New Roman"/>
        <family val="1"/>
      </rPr>
      <t xml:space="preserve"> AKRAM DARKATE</t>
    </r>
  </si>
  <si>
    <t>0100</t>
  </si>
  <si>
    <r>
      <t>CONSTRUCTION D`UN LOGEMENT RURALE EN R+1 + LOGEMENT DE GARDIEN + DEPOT + LOCAL TECHNIQUE + CHÂTEAU D'EAU + FOSSE SEPTIQUE + MUR DE CLOTURE</t>
    </r>
    <r>
      <rPr>
        <sz val="10"/>
        <color rgb="FFFF0000"/>
        <rFont val="Times New Roman"/>
        <family val="1"/>
      </rPr>
      <t>(23000dh)</t>
    </r>
    <r>
      <rPr>
        <sz val="10"/>
        <color theme="1"/>
        <rFont val="Times New Roman"/>
        <family val="1"/>
      </rPr>
      <t xml:space="preserve"> / AGENCE URB + BHT </t>
    </r>
    <r>
      <rPr>
        <sz val="10"/>
        <color rgb="FFFF0000"/>
        <rFont val="Times New Roman"/>
        <family val="1"/>
      </rPr>
      <t>(3000dh)</t>
    </r>
    <r>
      <rPr>
        <sz val="10"/>
        <color theme="1"/>
        <rFont val="Times New Roman"/>
        <family val="1"/>
      </rPr>
      <t xml:space="preserve"> / AGENCE URBAINE</t>
    </r>
    <r>
      <rPr>
        <sz val="10"/>
        <color rgb="FFFF0000"/>
        <rFont val="Times New Roman"/>
        <family val="1"/>
      </rPr>
      <t>(1458dh)</t>
    </r>
  </si>
  <si>
    <t>CONSTRUCTION D'UN ATELIER</t>
  </si>
  <si>
    <t>TAMENSOURT VII - 3 H</t>
  </si>
  <si>
    <t>TAMENSOURT VII - 11H</t>
  </si>
  <si>
    <t>TAMENSOURT VII -20H</t>
  </si>
  <si>
    <t xml:space="preserve">RECONSTRUCTION D'UNE MAISON </t>
  </si>
  <si>
    <t>QUARTIEN BEN SALEH , DERB EL HADJ KADDOUR Nr 11</t>
  </si>
  <si>
    <t>HAY INBIAAT</t>
  </si>
  <si>
    <t xml:space="preserve">PLAN </t>
  </si>
  <si>
    <t>PCT-PMRC-AMNA-4604/2026</t>
  </si>
  <si>
    <r>
      <t>ETUDE ARCHITECTURAL+ PLAN BÉTON ARMÉE</t>
    </r>
    <r>
      <rPr>
        <sz val="12"/>
        <color rgb="FFFF0000"/>
        <rFont val="Times New Roman"/>
        <family val="1"/>
      </rPr>
      <t xml:space="preserve"> 7000 </t>
    </r>
    <r>
      <rPr>
        <sz val="12"/>
        <color theme="1"/>
        <rFont val="Times New Roman"/>
        <family val="1"/>
      </rPr>
      <t xml:space="preserve">DH/TOPOGRAPHE </t>
    </r>
    <r>
      <rPr>
        <sz val="12"/>
        <color rgb="FFFF0000"/>
        <rFont val="Times New Roman"/>
        <family val="1"/>
      </rPr>
      <t>2000 DH</t>
    </r>
  </si>
  <si>
    <t>CONSTRUCTION D'UN R+2</t>
  </si>
  <si>
    <t>TAMNSOURT LOTISSEMNT AL MOSTAKBAL 172</t>
  </si>
  <si>
    <t>CONSTRUCTION D'UN RDC +3 ETAGES</t>
  </si>
  <si>
    <t>NOUVELLE VILLE TAMNSOURT LOTISSEMENT AL KAWTAR TR 01 PHASE 09</t>
  </si>
  <si>
    <t>TAIB III - 121</t>
  </si>
  <si>
    <t>CONSTRUCTION D'UN S.SOL + R+3 ETAGES</t>
  </si>
  <si>
    <t>CONSTRUCTION D'UN RDC + 3 ETAGES</t>
  </si>
  <si>
    <t>NOUVELLE VILLE TAMANSOURT LOTISSEMENT AL KAWTAR TR 01 PHASE 14 LOT 122</t>
  </si>
  <si>
    <t>NOUVELLE VILLE TAMANSOURT LOTISSEMENT AL KAWTAR TR 01 PHASE 09</t>
  </si>
  <si>
    <t>DÉMOLITION DE L'EXISTANT ET CONSTRUCTION D'UN R+3 + SOUS SOL</t>
  </si>
  <si>
    <t>LOTISSEMENT SIDI ABBAD 1 NUM 41</t>
  </si>
  <si>
    <t>NOUVELLE VILLE TAMANSOURT</t>
  </si>
  <si>
    <t>AZZOUZIA II N 836</t>
  </si>
  <si>
    <t>LOTISSEMENT TAIB 3-79</t>
  </si>
  <si>
    <t>CONSTRUCTION D'UN LOGEMENT EN R+1</t>
  </si>
  <si>
    <t>DOUAR AIT MY ALI FASKA AIT OURIR EL HAOUZ</t>
  </si>
  <si>
    <t>CONSRTUCTION D’UN LOGEMENT EN R+2</t>
  </si>
  <si>
    <t xml:space="preserve"> LOTISSEMENT  CHOUITER 37-413 SIDI ABDELLAH GHIATE AL HAOUZ </t>
  </si>
  <si>
    <t>CONSTRUCTION D'UN R+1</t>
  </si>
  <si>
    <t>DOUAR AIT ZAOUG AIT FASKA AIT OURIR EL HAOUZ</t>
  </si>
  <si>
    <t>DOUAR AMANOUZ AIT FASKA AL HAOUZ</t>
  </si>
  <si>
    <t>DOUAR TIKOUTAR FASKA SIDI DAOUD AIT OURIR EL HAOUZ</t>
  </si>
  <si>
    <t>LOTISSEMENT CHOUITER 631-43</t>
  </si>
  <si>
    <t>DOUAR AIT MOULAY ALI FASKA SIDI DAOUD AI OURIR EL HAOUZ</t>
  </si>
  <si>
    <t>DOUAR TELTIA AIT FASKA AIT OURIR EL HAOUZ</t>
  </si>
  <si>
    <t>CONSTRUCTION D’UN DEPOT AGRICOL EN RDC</t>
  </si>
  <si>
    <t>PROPRIETE DITE AMASSINE DOUAR TAFERIAT COMMUNE AIT FASKA</t>
  </si>
  <si>
    <t>CHWITER</t>
  </si>
  <si>
    <t>KHADIJA KHABAR</t>
  </si>
  <si>
    <t>PROPRIETE DITE   DOUAR TELTIA</t>
  </si>
  <si>
    <t>DOUAR AIT MOULAY AIT FASKA AIT OURIR EL HAOUZ</t>
  </si>
  <si>
    <t>YASSINE AMELLAH</t>
  </si>
  <si>
    <t>DOUAR GUERS FASKA SIDI DAOUD AIT OURIR EL HAOUZ</t>
  </si>
  <si>
    <t>CONSTRUCTION D'UN LOGEMENT RURAL EN RDC</t>
  </si>
  <si>
    <t>DOUAR AMAACHAK COMMUNE RURALE GHMATE</t>
  </si>
  <si>
    <t>CONSTRUCTION D'UNLOGEMENT EN R+1 (CHANGEMENT DE NON ET MODIFICATION)</t>
  </si>
  <si>
    <t>DOUAR KERKOUCH</t>
  </si>
  <si>
    <t xml:space="preserve"> CONSTRUCTION D`UN R+1 </t>
  </si>
  <si>
    <t>DOUAR AIT ZAWEK</t>
  </si>
  <si>
    <t xml:space="preserve"> CONSTRUCTION D`UN R+2</t>
  </si>
  <si>
    <t>CHWITER 49-177</t>
  </si>
  <si>
    <t>CONSTRUCTION D`UN R+1</t>
  </si>
  <si>
    <t>DOUAR AIT ZAOUG</t>
  </si>
  <si>
    <t>DR AIT MOULAY ALI AIT FASKA</t>
  </si>
  <si>
    <t>CONSTRUCTION D’UN LOGEMENT EN R+1</t>
  </si>
  <si>
    <t>PROPRIETE DITE BOUR TMELOULT DOUAR TELTIA</t>
  </si>
  <si>
    <t>DOUAR AIT ZAOUG FASKA SIDI DAOUD AIT OURIR EL HAOUZ</t>
  </si>
  <si>
    <t>PROPRIETE DITE BALMOUGHE DOUAR AIT MOULAY ALI</t>
  </si>
  <si>
    <t>DOUAR AMANOUZ PROPRIETE DITE OUTBOUKILT COMMUNE RURALE AIT FASKA</t>
  </si>
  <si>
    <t>CONSTRUCTION D'UN LOGEMENT EN R+I</t>
  </si>
  <si>
    <t>DOUAR AIT MOULAY ALI FASKA SIDI DAOUD AIT OURIR EL HAOUZ</t>
  </si>
  <si>
    <t>PROPRIETE DITE AZRIB  DOUAR AMADRAR</t>
  </si>
  <si>
    <t xml:space="preserve">HASSAN IGGUI </t>
  </si>
  <si>
    <t>: PROPRIETE DITE AZRIB DOUAR TELTIA</t>
  </si>
  <si>
    <t>DOUAR TAFRIATE FASKA SIDI DAOUD AIT OURIR EL HAOUZ</t>
  </si>
  <si>
    <t>CHWITER 31-262</t>
  </si>
  <si>
    <t>Proprété dit: Ourti N Ait Brahim ,DR SOUK</t>
  </si>
  <si>
    <t>Propriété dite: Tigunatine , AIT DAOUD DR SOUK</t>
  </si>
  <si>
    <t>CONSTRUCTION D'UN LOGEMENT EN R+2</t>
  </si>
  <si>
    <t>LAHRACHE N 18</t>
  </si>
  <si>
    <t>Plan Modificatif Suite à L'autorisation N°02 en date du 04/03/2020 et Construction d'un Logement de gardien et Etable</t>
  </si>
  <si>
    <t>DR BIR KRCRM COMMUNE SIDI ISHAQ PROVINCE ESSAOUIRA</t>
  </si>
  <si>
    <t>CONSTRUCTION D'UN LOGEMENT RURAL AVEC LOGEMENT DE GARDIEN</t>
  </si>
  <si>
    <t>DR OLD BIH COMMUNE SIDI ISHAQ PROVINE ESSAOUIRA</t>
  </si>
  <si>
    <t>LAHRECH 27, TAFETACHTE</t>
  </si>
  <si>
    <t>AYOUR, TAFETACHTE</t>
  </si>
  <si>
    <t>PLAN MODIFICATIF D’UN R+1</t>
  </si>
  <si>
    <t>DR AMARIRN</t>
  </si>
  <si>
    <t>CONSTRUCTION D'UNE MAISON RURALE EN R+1</t>
  </si>
  <si>
    <t>SHOUBA DR LAADAMNA</t>
  </si>
  <si>
    <t>DOUAR SOUK COMMUNE AIT DAOUD</t>
  </si>
  <si>
    <t>FEDDANE NOUALA DR BOUZAMA</t>
  </si>
  <si>
    <t>CONSTRUCTION D'UNE MAISON RURAL EN R+1</t>
  </si>
  <si>
    <t>TASSILA &amp; TAHL LMATFIA LMOJAWIR DR AIT ALI</t>
  </si>
  <si>
    <t>DOUAR ASKAR COMMUNE AIT DAOUD</t>
  </si>
  <si>
    <t>DR TOUKHRIBINE AIT DAOUD</t>
  </si>
  <si>
    <t>CONSTRUCTION D`UN LOGEMENT EN R+1</t>
  </si>
  <si>
    <t>DOUAR SOUK</t>
  </si>
  <si>
    <t xml:space="preserve">CONSTRUCTION D'UNE MAISON RURALE EN RDCH AVEC LOGEMENT DE GARDIEN </t>
  </si>
  <si>
    <t>DOUAR SOUK COMMUNR AIT DAOUD</t>
  </si>
  <si>
    <t>DR SOUK AIT DAOUD</t>
  </si>
  <si>
    <t>HADID ADIL</t>
  </si>
  <si>
    <t>PLAN MODIFICATIF D'UN R+1</t>
  </si>
  <si>
    <t>CERCLE TAMANAR - DOUAR LOUDA</t>
  </si>
  <si>
    <t>CONSTRUCTION D`UN LOGEMENT EN R+2</t>
  </si>
  <si>
    <t>LOTISSEMENT EL MANZEH</t>
  </si>
  <si>
    <t>LOTISSEMENT EL AMAL 143</t>
  </si>
  <si>
    <t>LOTISSEMENT ANNOUR 2 LOT N 4</t>
  </si>
  <si>
    <t>CONSTRUCTION D'UNE VILLA EN BANDE</t>
  </si>
  <si>
    <t>CONSTRUCTION D'UN LOGEMENT R+3</t>
  </si>
  <si>
    <t>JNANE ELKHEIR LOT N 2436</t>
  </si>
  <si>
    <t>CONSTRUCTION D'UN LOGEMENT R+1</t>
  </si>
  <si>
    <t>HAY EL AMAL</t>
  </si>
  <si>
    <t>SURELEVATION DE 1ER ETAGE SUR REZ DE CHAUSSEE EXISTANT</t>
  </si>
  <si>
    <t>LOGEMENT DES SALARIES S6 L B59 HAY MY RACHID</t>
  </si>
  <si>
    <t>CONSTRUCTION D'UN LOGEMENT R+2</t>
  </si>
  <si>
    <t>QUARTIER IFRIQUIA</t>
  </si>
  <si>
    <t>QUARTIER CHAIBATE</t>
  </si>
  <si>
    <t>AMENAGEMENT D'UN CAFEE</t>
  </si>
  <si>
    <t>LOTISSEMENT JNANE EL KHIER N° 1060 Province de Rehamna Ben Guerir</t>
  </si>
  <si>
    <t>QUARTIER EL CHAIBATE Province de Rehamna Ben Guerir</t>
  </si>
  <si>
    <t xml:space="preserve"> 11/04/2026</t>
  </si>
  <si>
    <t>QUARTIER CHAIBATE Province de Rehamna Ben Guerir</t>
  </si>
  <si>
    <t>CONSTRUCTION D’UN LOGEMENT EN R+2</t>
  </si>
  <si>
    <t>QUARTIER EL INBIAATE</t>
  </si>
  <si>
    <t>ABDELMALEK NAJMI CHARIF</t>
  </si>
  <si>
    <r>
      <t xml:space="preserve">PLAN ARCHITECTURAL </t>
    </r>
    <r>
      <rPr>
        <sz val="11"/>
        <color rgb="FFFF0000"/>
        <rFont val="Calibri"/>
        <family val="2"/>
        <scheme val="minor"/>
      </rPr>
      <t>7500dh</t>
    </r>
    <r>
      <rPr>
        <sz val="11"/>
        <color theme="1"/>
        <rFont val="Calibri"/>
        <family val="2"/>
        <scheme val="minor"/>
      </rPr>
      <t xml:space="preserve"> /PLAN BÉTON ARMÉE </t>
    </r>
    <r>
      <rPr>
        <sz val="11"/>
        <color rgb="FFFF0000"/>
        <rFont val="Calibri"/>
        <family val="2"/>
        <scheme val="minor"/>
      </rPr>
      <t xml:space="preserve">3400 dh </t>
    </r>
    <r>
      <rPr>
        <sz val="11"/>
        <color theme="1"/>
        <rFont val="Calibri"/>
        <family val="2"/>
        <scheme val="minor"/>
      </rPr>
      <t xml:space="preserve">/TOPOGRAPHE </t>
    </r>
    <r>
      <rPr>
        <sz val="11"/>
        <color rgb="FFFF0000"/>
        <rFont val="Calibri"/>
        <family val="2"/>
        <scheme val="minor"/>
      </rPr>
      <t>1200 dh</t>
    </r>
  </si>
  <si>
    <t>CONSTRUCTION D`UN S.SOL + R+1 ETAGE</t>
  </si>
  <si>
    <t>NOUVELLE VILLE TAMENSOURT T VII 24B</t>
  </si>
  <si>
    <t>NOURA AYOUB</t>
  </si>
  <si>
    <t>BG213</t>
  </si>
  <si>
    <t>BG214</t>
  </si>
  <si>
    <t>BG215</t>
  </si>
  <si>
    <t>BG216</t>
  </si>
  <si>
    <t>BG217</t>
  </si>
  <si>
    <t>LACHHAB YOUSSEF</t>
  </si>
  <si>
    <t>DRISS EL OUAHDANY</t>
  </si>
  <si>
    <t>AUMLIL ABDELGHANI</t>
  </si>
  <si>
    <t>BG218</t>
  </si>
  <si>
    <t>BG219</t>
  </si>
  <si>
    <t>BG220</t>
  </si>
  <si>
    <t>BG221</t>
  </si>
  <si>
    <t>BG222</t>
  </si>
  <si>
    <t>BG223</t>
  </si>
  <si>
    <t>BG224</t>
  </si>
  <si>
    <t>BG225</t>
  </si>
  <si>
    <t>BG226</t>
  </si>
  <si>
    <t>BG227</t>
  </si>
  <si>
    <t>NOUHAILA ADDAS AZIZ BELKEMMAA</t>
  </si>
  <si>
    <t xml:space="preserve">ABDELGHAFOR BOUTHAKAI </t>
  </si>
  <si>
    <t>ADIL HADID plan modif</t>
  </si>
  <si>
    <t>NABIL EL HIHI</t>
  </si>
  <si>
    <t>BRAHIM AGOURRAM</t>
  </si>
  <si>
    <t>ILHAM SGHURI</t>
  </si>
  <si>
    <t xml:space="preserve">ALAA DRISS EL BASRI </t>
  </si>
  <si>
    <t>LOTISSEMENT ICHRAQ LOT NR 25</t>
  </si>
  <si>
    <t>QUARTIER ERRAHMA</t>
  </si>
  <si>
    <t>HAY ERRAHMA</t>
  </si>
  <si>
    <t>SURELIVATION DU 1 ER ETAGE SUR RDC EXISTANT</t>
  </si>
  <si>
    <t>HAY EL CHAIBATE </t>
  </si>
  <si>
    <t>HAY CHAIBAT</t>
  </si>
  <si>
    <t>BG228</t>
  </si>
  <si>
    <t>BG229</t>
  </si>
  <si>
    <t>BG230</t>
  </si>
  <si>
    <t>DOUAR REGUITA proprietee dit : BEYYAD Province de Rehamna Oulad Hassoune Hamri</t>
  </si>
  <si>
    <t>CONSTRUCTION D'UN LOGEMENT RURAL EN R+1</t>
  </si>
  <si>
    <t>CERCLE TAMANAR DOUAR LOUDA </t>
  </si>
  <si>
    <t>DR AIT ZAOUG FASKA SIDI DAOUD AIT OURIR EL HAOUZ</t>
  </si>
  <si>
    <t>DOUAR AIT ZAOUG AIT FASKA AL HAOUZ Province d'Al Haouz Aït Faska</t>
  </si>
  <si>
    <r>
      <t>ETUDE ARCHITECTUIRALE/( PLAN BETON ARMEE  +SUIVIS +ATT DE COMFORMITE)(</t>
    </r>
    <r>
      <rPr>
        <sz val="11"/>
        <color rgb="FFFF0000"/>
        <rFont val="Times New Roman"/>
        <family val="1"/>
      </rPr>
      <t>3000 dh</t>
    </r>
    <r>
      <rPr>
        <sz val="11"/>
        <color theme="1"/>
        <rFont val="Times New Roman"/>
        <family val="1"/>
      </rPr>
      <t>)</t>
    </r>
  </si>
  <si>
    <t>virement</t>
  </si>
  <si>
    <t>ETUDE ARCHITECTURAL 7500 dh+ PLAN BÉTON ARMÉE 3400 dh/TOPOGRAPHE 1200 DH</t>
  </si>
  <si>
    <t>LOTISSEMENT RIAD LOT NR E347 Province de Rehamna Ben Guerir</t>
  </si>
  <si>
    <t>FUSION DE DEUX LOT POUR LA C0NSTRUCTION D'UN LOGEMENT EN R+2</t>
  </si>
  <si>
    <t>LOTISSEMENT BIR ANZARANE LOT NR 1/ LOTISSEMENT BIR ANZARANE  LOT NR 3, BEN GUERIR</t>
  </si>
  <si>
    <t>Montant NEGOCIÉ (ARCHI LBO)</t>
  </si>
  <si>
    <t>PLAN BETON ARMEE(LBS)</t>
  </si>
  <si>
    <t>M067</t>
  </si>
  <si>
    <t>TADIF SERVICE / MUSTAPHA TAOUSS</t>
  </si>
  <si>
    <t>YOUSSEF OUAHI</t>
  </si>
  <si>
    <t>LAHSAN 0627848085 /+1 (973) 413‑7431 YOUSSEF</t>
  </si>
  <si>
    <r>
      <t xml:space="preserve">CONSTRUCTION D`UN RDC + 2 ETAGES + PLAN BÉTON ARMÉE </t>
    </r>
    <r>
      <rPr>
        <sz val="11"/>
        <color rgb="FFFF0000"/>
        <rFont val="Calibri"/>
        <family val="2"/>
        <scheme val="minor"/>
      </rPr>
      <t>8000 dh</t>
    </r>
    <r>
      <rPr>
        <sz val="11"/>
        <color theme="1"/>
        <rFont val="Calibri"/>
        <family val="2"/>
        <scheme val="minor"/>
      </rPr>
      <t>/CERTIFICAT DE PROPRIETE</t>
    </r>
    <r>
      <rPr>
        <sz val="11"/>
        <color rgb="FFFF0000"/>
        <rFont val="Calibri"/>
        <family val="2"/>
        <scheme val="minor"/>
      </rPr>
      <t xml:space="preserve"> 100dh</t>
    </r>
    <r>
      <rPr>
        <sz val="11"/>
        <color theme="1"/>
        <rFont val="Calibri"/>
        <family val="2"/>
        <scheme val="minor"/>
      </rPr>
      <t xml:space="preserve"> /PLAN CADASTRAL </t>
    </r>
    <r>
      <rPr>
        <sz val="11"/>
        <color rgb="FFFF0000"/>
        <rFont val="Calibri"/>
        <family val="2"/>
        <scheme val="minor"/>
      </rPr>
      <t>100dh</t>
    </r>
    <r>
      <rPr>
        <sz val="11"/>
        <color theme="1"/>
        <rFont val="Calibri"/>
        <family val="2"/>
        <scheme val="minor"/>
      </rPr>
      <t>/CALCUL DE CONTENANCE 15 dh</t>
    </r>
  </si>
  <si>
    <t>LOTISSEMENT TAIB 3 LOT N °138</t>
  </si>
  <si>
    <t>CONSTRUCTION D'UN ATELIER EN R+1+ S.SOL</t>
  </si>
  <si>
    <t>TAMNSOURT P198</t>
  </si>
  <si>
    <r>
      <t xml:space="preserve">ETUDE ARCHITECTURAL:  CONSTRUCTION D'UN LOGEMENT EN R+2 </t>
    </r>
    <r>
      <rPr>
        <sz val="11"/>
        <color rgb="FFFF0000"/>
        <rFont val="Calibri"/>
        <family val="2"/>
        <scheme val="minor"/>
      </rPr>
      <t>8000dh</t>
    </r>
    <r>
      <rPr>
        <sz val="11"/>
        <color theme="1"/>
        <rFont val="Calibri"/>
        <family val="2"/>
        <scheme val="minor"/>
      </rPr>
      <t xml:space="preserve">/ BUREAU D'ETUDE </t>
    </r>
    <r>
      <rPr>
        <sz val="11"/>
        <color rgb="FFFF0000"/>
        <rFont val="Calibri"/>
        <family val="2"/>
        <scheme val="minor"/>
      </rPr>
      <t>3000dh</t>
    </r>
    <r>
      <rPr>
        <sz val="11"/>
        <color theme="1"/>
        <rFont val="Calibri"/>
        <family val="2"/>
        <scheme val="minor"/>
      </rPr>
      <t xml:space="preserve">/TOPOGRAPHE </t>
    </r>
    <r>
      <rPr>
        <sz val="11"/>
        <color rgb="FFFF0000"/>
        <rFont val="Calibri"/>
        <family val="2"/>
        <scheme val="minor"/>
      </rPr>
      <t>1200dh</t>
    </r>
  </si>
  <si>
    <t>EL MUSTAPHA BACHIRI ET Mr HAMZA BACHIRI</t>
  </si>
  <si>
    <t>CHOUITER 31-28</t>
  </si>
  <si>
    <t>LOTISSEMENT AL KAWTAR LOT 93</t>
  </si>
  <si>
    <t>CONSTRUCTION D'UN ATELIER EN S/SOL+ R+1 ETAGE</t>
  </si>
  <si>
    <t>NABILA CHAFIQ</t>
  </si>
  <si>
    <t>STE BH CONSTRUCTION SARL/ HICHAM BOUADDI</t>
  </si>
  <si>
    <r>
      <t xml:space="preserve">CONSTRUCTION D'UN RDC+ 3 ETAGES </t>
    </r>
    <r>
      <rPr>
        <sz val="11"/>
        <color rgb="FFFF0000"/>
        <rFont val="Calibri"/>
        <family val="2"/>
        <scheme val="minor"/>
      </rPr>
      <t>17500 DH</t>
    </r>
    <r>
      <rPr>
        <sz val="11"/>
        <color theme="1"/>
        <rFont val="Calibri"/>
        <family val="2"/>
        <scheme val="minor"/>
      </rPr>
      <t xml:space="preserve">/PLAN CADASTRLE </t>
    </r>
    <r>
      <rPr>
        <sz val="11"/>
        <color rgb="FFFF0000"/>
        <rFont val="Calibri"/>
        <family val="2"/>
        <scheme val="minor"/>
      </rPr>
      <t>100 DH</t>
    </r>
    <r>
      <rPr>
        <sz val="11"/>
        <color theme="1"/>
        <rFont val="Calibri"/>
        <family val="2"/>
        <scheme val="minor"/>
      </rPr>
      <t xml:space="preserve">/ CALCULE DE CONTENANCE </t>
    </r>
    <r>
      <rPr>
        <sz val="11"/>
        <color rgb="FFFF0000"/>
        <rFont val="Calibri"/>
        <family val="2"/>
        <scheme val="minor"/>
      </rPr>
      <t>15 DH</t>
    </r>
  </si>
  <si>
    <t>IBTISSAM 0634-989534</t>
  </si>
  <si>
    <t>KAMALI AHMED AMINE</t>
  </si>
  <si>
    <t>+33 6 66 31 85 68</t>
  </si>
  <si>
    <t>N°058619</t>
  </si>
  <si>
    <t>LOTISSEMENT TAIB 3 LOT N°19</t>
  </si>
  <si>
    <r>
      <t>CONSTRUCTION D'UN R+2 + PLAN BET</t>
    </r>
    <r>
      <rPr>
        <sz val="11"/>
        <color rgb="FFFF0000"/>
        <rFont val="Times New Roman"/>
        <family val="1"/>
      </rPr>
      <t xml:space="preserve"> 8500DH </t>
    </r>
    <r>
      <rPr>
        <sz val="11"/>
        <color theme="1"/>
        <rFont val="Times New Roman"/>
        <family val="1"/>
      </rPr>
      <t xml:space="preserve">/CERTIFICAT DE PROPRIETE </t>
    </r>
    <r>
      <rPr>
        <sz val="11"/>
        <color rgb="FFFF0000"/>
        <rFont val="Times New Roman"/>
        <family val="1"/>
      </rPr>
      <t>100 DH</t>
    </r>
  </si>
  <si>
    <t>MUSTAPHA ZTOTI</t>
  </si>
  <si>
    <t>DOUAR OULAD IBRAHIM (EL FOSTOK)</t>
  </si>
  <si>
    <t>CONSTRUCTION D'UN LOGEMENT RURALE EN R+1</t>
  </si>
  <si>
    <t>STE CFPNC-CENTRE DE FORMATION PERSONNEL / ABDECHAKOUR EL MAANI</t>
  </si>
  <si>
    <t>AMENAGEMENT D'UNE SALLE DE RÉUNION EN CLASSE DE L'ÉCOLE IACCA(PLAN MODIFICATIF SUITE A L'AUTORISATION DU MN15/07</t>
  </si>
  <si>
    <t>VILLA MAKRISA ET MALKA 4</t>
  </si>
  <si>
    <r>
      <t xml:space="preserve">ETUDE ARCHITECTURALE D'UNE VILLA JUMLEE </t>
    </r>
    <r>
      <rPr>
        <sz val="9"/>
        <color rgb="FFFF0000"/>
        <rFont val="Times New Roman"/>
        <family val="1"/>
      </rPr>
      <t xml:space="preserve">10500 </t>
    </r>
    <r>
      <rPr>
        <sz val="9"/>
        <color theme="1"/>
        <rFont val="Times New Roman"/>
        <family val="1"/>
      </rPr>
      <t xml:space="preserve">DH/VISUALISATION 3D </t>
    </r>
    <r>
      <rPr>
        <sz val="9"/>
        <color rgb="FFFF0000"/>
        <rFont val="Times New Roman"/>
        <family val="1"/>
      </rPr>
      <t>4000DH</t>
    </r>
  </si>
  <si>
    <t xml:space="preserve"> AMHAFSIRA LOG-SARL / FATIMA SEGHROUCHNI ET ILYASS AMHAOUCH</t>
  </si>
  <si>
    <t>+212 6 68 33 61 52</t>
  </si>
  <si>
    <t>SUN LIGHT TECHNOLOGY / SALMA daaraoui</t>
  </si>
  <si>
    <t>LAABISSI ABDESSADEK</t>
  </si>
  <si>
    <r>
      <t xml:space="preserve">CONSTRUCTION D`UN S.SOL + R+1 ETAGE </t>
    </r>
    <r>
      <rPr>
        <sz val="11"/>
        <color rgb="FFFF0000"/>
        <rFont val="Calibri"/>
        <family val="2"/>
        <scheme val="minor"/>
      </rPr>
      <t>16000dh</t>
    </r>
    <r>
      <rPr>
        <sz val="11"/>
        <color theme="1"/>
        <rFont val="Calibri"/>
        <family val="2"/>
        <scheme val="minor"/>
      </rPr>
      <t xml:space="preserve">/2 CERTIFICATS DE PROPRIETE </t>
    </r>
    <r>
      <rPr>
        <sz val="11"/>
        <color rgb="FFFF0000"/>
        <rFont val="Calibri"/>
        <family val="2"/>
        <scheme val="minor"/>
      </rPr>
      <t>200dh</t>
    </r>
    <r>
      <rPr>
        <sz val="11"/>
        <color theme="1"/>
        <rFont val="Calibri"/>
        <family val="2"/>
        <scheme val="minor"/>
      </rPr>
      <t xml:space="preserve"> /PLAN CADASTRAL</t>
    </r>
    <r>
      <rPr>
        <sz val="11"/>
        <color rgb="FFFF0000"/>
        <rFont val="Calibri"/>
        <family val="2"/>
        <scheme val="minor"/>
      </rPr>
      <t xml:space="preserve"> 100dh</t>
    </r>
    <r>
      <rPr>
        <sz val="11"/>
        <color theme="1"/>
        <rFont val="Calibri"/>
        <family val="2"/>
        <scheme val="minor"/>
      </rPr>
      <t xml:space="preserve">/CALCUL DE CONTENANCE </t>
    </r>
    <r>
      <rPr>
        <sz val="11"/>
        <color rgb="FFFF0000"/>
        <rFont val="Calibri"/>
        <family val="2"/>
        <scheme val="minor"/>
      </rPr>
      <t>15dh</t>
    </r>
  </si>
  <si>
    <t>STE EXPRESS SERVICES ASKOUR SARLAU / MOSTAPHA EL GHARBI/ ABDELLAH ASKOUR</t>
  </si>
  <si>
    <t>AMENAGEMENT D'UN ATELIER EXISTANT EN AMÉNAGEMENT D’UN LOCAL À USAGE DE STOCKAGE ET DE DISTRIBUTION DE PRODUITS DE BOULANGERIE</t>
  </si>
  <si>
    <t>ABDERRAZZAK AHLOUCH</t>
  </si>
  <si>
    <t>CONSREUCTION D'UN LOGEMENT EN R+3</t>
  </si>
  <si>
    <t>LOTISSEMENT AL KAWTAR TR 01 PHASE 09 LOT N 31 NOUVELLE VILLE TAMENSOURT</t>
  </si>
  <si>
    <t xml:space="preserve">ABDELALI SOUIBI </t>
  </si>
  <si>
    <t xml:space="preserve"> PLAN MODIFICATIF D'UN LOGEMENT RURALE </t>
  </si>
  <si>
    <t>AYOUB ELHALLA</t>
  </si>
  <si>
    <t>CHWITER 68-205</t>
  </si>
  <si>
    <r>
      <t xml:space="preserve">CONSTRUCTION D'UN LOGEMENT EN R+2 </t>
    </r>
    <r>
      <rPr>
        <sz val="9"/>
        <color rgb="FFFF0000"/>
        <rFont val="Times New Roman"/>
        <family val="1"/>
      </rPr>
      <t>5000 dh</t>
    </r>
    <r>
      <rPr>
        <sz val="9"/>
        <color theme="1"/>
        <rFont val="Times New Roman"/>
        <family val="1"/>
      </rPr>
      <t xml:space="preserve">/BUREAU D'ETUDE </t>
    </r>
    <r>
      <rPr>
        <sz val="9"/>
        <color rgb="FFFF0000"/>
        <rFont val="Times New Roman"/>
        <family val="1"/>
      </rPr>
      <t>2500 dh</t>
    </r>
    <r>
      <rPr>
        <sz val="9"/>
        <color theme="1"/>
        <rFont val="Times New Roman"/>
        <family val="1"/>
      </rPr>
      <t xml:space="preserve"> /TOPOGRAPHE </t>
    </r>
    <r>
      <rPr>
        <sz val="9"/>
        <color rgb="FFFF0000"/>
        <rFont val="Times New Roman"/>
        <family val="1"/>
      </rPr>
      <t>1200 dh</t>
    </r>
  </si>
  <si>
    <t>EL MOKHTAR EZZOUZIA LOT 88</t>
  </si>
  <si>
    <t>ABDELMOUNAIME jmari ET YOUSSRA</t>
  </si>
  <si>
    <t>COPROMAN / OUAHMANE KAMAL</t>
  </si>
  <si>
    <t xml:space="preserve">MOHCIN LAAZIZ </t>
  </si>
  <si>
    <t>ASRY LAHBIB LOTFI MOHAMED</t>
  </si>
  <si>
    <t>MODIFICATION</t>
  </si>
  <si>
    <t>MOHAMED MOSAID</t>
  </si>
  <si>
    <t>MOHAMED JAMI</t>
  </si>
  <si>
    <t>ZOUHIR MABROUK</t>
  </si>
  <si>
    <t>LAMOUALDA ABBES</t>
  </si>
  <si>
    <t>BENIJJA OMAE ET BRAHIM</t>
  </si>
  <si>
    <t>CHAKIB MAARAJI</t>
  </si>
  <si>
    <t>AHMED MOUMOU</t>
  </si>
  <si>
    <t>YOUSSEF EL HAMDOUNI</t>
  </si>
  <si>
    <t>R+2</t>
  </si>
  <si>
    <t>R+3</t>
  </si>
  <si>
    <t>R+1</t>
  </si>
  <si>
    <t>BG231</t>
  </si>
  <si>
    <t>BG232</t>
  </si>
  <si>
    <t>BG233</t>
  </si>
  <si>
    <t>BG234</t>
  </si>
  <si>
    <t>BG235</t>
  </si>
  <si>
    <t>BG236</t>
  </si>
  <si>
    <t>BG237</t>
  </si>
  <si>
    <t>BG238</t>
  </si>
  <si>
    <t>BG239</t>
  </si>
  <si>
    <t>BG240</t>
  </si>
  <si>
    <t>BG241</t>
  </si>
  <si>
    <t>BG242</t>
  </si>
  <si>
    <t>BG243</t>
  </si>
  <si>
    <t>BG244</t>
  </si>
  <si>
    <t>BG245</t>
  </si>
  <si>
    <t>ABDELLATIF EZZIANI</t>
  </si>
  <si>
    <t>ABDELOUAFI EL MAAROUFY</t>
  </si>
  <si>
    <t>YOUSSEF QUISSEM</t>
  </si>
  <si>
    <t>HAKIMA HADDANE - HALIMA HADDANE</t>
  </si>
  <si>
    <t>RACHID LABROUD</t>
  </si>
  <si>
    <t>ABDELHAMID DAHANI</t>
  </si>
  <si>
    <t>ETABLISSEMENT IMI SCHOOL PRIVEE / MARIA HAMMOUD</t>
  </si>
  <si>
    <t>ABDELHAQ BRIDI</t>
  </si>
  <si>
    <t>ADIL BELGHAZI MINA EL ACHHAB</t>
  </si>
  <si>
    <t>KHALID LAAOYUINA</t>
  </si>
  <si>
    <t>ABDELATI LAYADI HIND ABDELGHANI</t>
  </si>
  <si>
    <t>HIND AARABAT</t>
  </si>
  <si>
    <t>YOUSSEF MIFDAL</t>
  </si>
  <si>
    <t>SAMAR CHNOURI / AMIR OSMAN IDREIS</t>
  </si>
  <si>
    <t>VILLA R+1 AVAC SOUS SOL</t>
  </si>
  <si>
    <t xml:space="preserve">YASSINE HAGUIG </t>
  </si>
  <si>
    <t>AMENAGEMENT D'UNE MAISON RURALE EN RDC</t>
  </si>
  <si>
    <t>DOUAR ALKASSAR</t>
  </si>
  <si>
    <t>MYSK LOT N 131</t>
  </si>
  <si>
    <t>HICHAM LAHDILI</t>
  </si>
  <si>
    <t>RDC+2</t>
  </si>
  <si>
    <t>LOT RIAD LOT C415</t>
  </si>
  <si>
    <t xml:space="preserve">JAMAL SAMAD 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</si>
  <si>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</si>
  <si>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</si>
  <si>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</si>
  <si>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</si>
  <si>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</si>
  <si>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</si>
  <si>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</si>
  <si>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</si>
  <si>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</si>
  <si>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</si>
  <si>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CONSTRUCTION D'UNE VILLA JUMLEE EN R+1 +S,SOL</t>
  </si>
  <si>
    <t>SOUFIANE EZZOUADI</t>
  </si>
  <si>
    <t>MAATALLAH DES RHAMNA N° 143 DR OULAD MASSOUD</t>
  </si>
  <si>
    <t>M093</t>
  </si>
  <si>
    <t xml:space="preserve">Amane ERRAHIMI ET  Abderrahim  DADDABI </t>
  </si>
  <si>
    <t>+212 619-489700</t>
  </si>
  <si>
    <t>Mr. BRAHIM CHAGIRI et Mr. MOHAMMED CHAGIRI</t>
  </si>
  <si>
    <t>AZZOUZIA II-N° 688</t>
  </si>
  <si>
    <t>Mr.ABDERRAHIM INSAF ET Mme.SIHAM MAARIF</t>
  </si>
  <si>
    <t>LOTISSEMENT ALMOSTAKBALE N° 15,NOUVELLE VILLE DE TAMANSOURTE</t>
  </si>
  <si>
    <r>
      <t xml:space="preserve">CONSTRUCTION D'UN LOGEMENT EN R+2 </t>
    </r>
    <r>
      <rPr>
        <sz val="11"/>
        <color rgb="FFFF0000"/>
        <rFont val="Calibri"/>
        <family val="2"/>
        <scheme val="minor"/>
      </rPr>
      <t>7500 DH</t>
    </r>
    <r>
      <rPr>
        <sz val="11"/>
        <color theme="1"/>
        <rFont val="Calibri"/>
        <family val="2"/>
        <scheme val="minor"/>
      </rPr>
      <t xml:space="preserve"> / PLAN CADASTRAL </t>
    </r>
    <r>
      <rPr>
        <sz val="11"/>
        <color rgb="FFFF0000"/>
        <rFont val="Calibri"/>
        <family val="2"/>
        <scheme val="minor"/>
      </rPr>
      <t>100DH</t>
    </r>
    <r>
      <rPr>
        <sz val="11"/>
        <color theme="1"/>
        <rFont val="Calibri"/>
        <family val="2"/>
        <scheme val="minor"/>
      </rPr>
      <t xml:space="preserve"> /CALCUL DE CONTENANCE </t>
    </r>
    <r>
      <rPr>
        <sz val="11"/>
        <color rgb="FFFF0000"/>
        <rFont val="Calibri"/>
        <family val="2"/>
        <scheme val="minor"/>
      </rPr>
      <t>15DH</t>
    </r>
  </si>
  <si>
    <t>CONSTRUCTION D'UN LOGEMENT EN R+3+SOUS.SOL 12500 DH / CALCUL DE CONTENANCE 15</t>
  </si>
  <si>
    <r>
      <t xml:space="preserve"> ETUDE CONSTRUCTION D'UN R+2
 </t>
    </r>
    <r>
      <rPr>
        <sz val="11"/>
        <color rgb="FFFF0000"/>
        <rFont val="Calibri"/>
        <family val="2"/>
        <scheme val="minor"/>
      </rPr>
      <t>+ 150 DH ODP</t>
    </r>
  </si>
  <si>
    <r>
      <t xml:space="preserve">CONSTRUCTION D'UN LOGEMENT EN R+3 + S/SOL </t>
    </r>
    <r>
      <rPr>
        <sz val="11"/>
        <color rgb="FFFF0000"/>
        <rFont val="Times New Roman"/>
        <family val="1"/>
      </rPr>
      <t>12000</t>
    </r>
    <r>
      <rPr>
        <sz val="11"/>
        <color theme="1"/>
        <rFont val="Times New Roman"/>
        <family val="1"/>
      </rPr>
      <t xml:space="preserve"> DH / PLAN BETON ARMÉE</t>
    </r>
    <r>
      <rPr>
        <sz val="11"/>
        <color rgb="FFFF0000"/>
        <rFont val="Times New Roman"/>
        <family val="1"/>
      </rPr>
      <t xml:space="preserve"> 2000 DH</t>
    </r>
    <r>
      <rPr>
        <sz val="11"/>
        <color theme="1"/>
        <rFont val="Times New Roman"/>
        <family val="1"/>
      </rPr>
      <t>/BUREAU DE CONTRÔLE</t>
    </r>
    <r>
      <rPr>
        <sz val="11"/>
        <color rgb="FFFF0000"/>
        <rFont val="Times New Roman"/>
        <family val="1"/>
      </rPr>
      <t xml:space="preserve"> 2000DH </t>
    </r>
    <r>
      <rPr>
        <sz val="11"/>
        <color theme="1"/>
        <rFont val="Times New Roman"/>
        <family val="1"/>
      </rPr>
      <t xml:space="preserve">/LABORATOIRE </t>
    </r>
    <r>
      <rPr>
        <sz val="11"/>
        <color rgb="FFFF0000"/>
        <rFont val="Times New Roman"/>
        <family val="1"/>
      </rPr>
      <t>3000 DH</t>
    </r>
    <r>
      <rPr>
        <sz val="11"/>
        <color theme="1"/>
        <rFont val="Times New Roman"/>
        <family val="1"/>
      </rPr>
      <t>/ CALCULE DE CONTENANC</t>
    </r>
    <r>
      <rPr>
        <sz val="11"/>
        <color rgb="FFFF0000"/>
        <rFont val="Times New Roman"/>
        <family val="1"/>
      </rPr>
      <t>E 15 DH</t>
    </r>
  </si>
  <si>
    <r>
      <t>CONSTRUCTION D'UN S.SOL+RDC+3 ETAGES/</t>
    </r>
    <r>
      <rPr>
        <sz val="11"/>
        <color rgb="FFFF0000"/>
        <rFont val="Times New Roman"/>
        <family val="1"/>
      </rPr>
      <t/>
    </r>
  </si>
  <si>
    <r>
      <t>PLAN BÉTON ARMÉE + SUIVIS (</t>
    </r>
    <r>
      <rPr>
        <sz val="11"/>
        <color rgb="FFFF0000"/>
        <rFont val="Calibri"/>
        <family val="2"/>
        <scheme val="minor"/>
      </rPr>
      <t>6000dh</t>
    </r>
    <r>
      <rPr>
        <sz val="11"/>
        <color theme="1"/>
        <rFont val="Calibri"/>
        <family val="2"/>
        <scheme val="minor"/>
      </rPr>
      <t>)/DOSSIER TECHNIQUE (LABORATOIRE</t>
    </r>
    <r>
      <rPr>
        <sz val="11"/>
        <color rgb="FFFF0000"/>
        <rFont val="Calibri"/>
        <family val="2"/>
        <scheme val="minor"/>
      </rPr>
      <t>)(2000dh)</t>
    </r>
    <r>
      <rPr>
        <sz val="11"/>
        <color theme="1"/>
        <rFont val="Calibri"/>
        <family val="2"/>
        <scheme val="minor"/>
      </rPr>
      <t>/DOSSIER TECHNIQUE (BUREAU DE CONTRÔLE)</t>
    </r>
    <r>
      <rPr>
        <sz val="11"/>
        <color rgb="FFFF0000"/>
        <rFont val="Calibri"/>
        <family val="2"/>
        <scheme val="minor"/>
      </rPr>
      <t>(2000dh</t>
    </r>
    <r>
      <rPr>
        <sz val="11"/>
        <color theme="1"/>
        <rFont val="Calibri"/>
        <family val="2"/>
        <scheme val="minor"/>
      </rPr>
      <t>)/DOSSIER TECHNIQUE (TOPOGRAPHE)</t>
    </r>
    <r>
      <rPr>
        <sz val="11"/>
        <color rgb="FFFF0000"/>
        <rFont val="Calibri"/>
        <family val="2"/>
        <scheme val="minor"/>
      </rPr>
      <t>(1500dh)/5000 dh agence urbain</t>
    </r>
  </si>
  <si>
    <r>
      <t xml:space="preserve">ETUDE ARCHITECTURAL: CONSTRUCTION D'UN SOUS,SOL+R+3 ETAGES </t>
    </r>
    <r>
      <rPr>
        <sz val="11"/>
        <color rgb="FFFF0000"/>
        <rFont val="Calibri"/>
        <family val="2"/>
        <scheme val="minor"/>
      </rPr>
      <t>9000 DH</t>
    </r>
    <r>
      <rPr>
        <sz val="11"/>
        <color theme="1"/>
        <rFont val="Calibri"/>
        <family val="2"/>
        <scheme val="minor"/>
      </rPr>
      <t>/CERTIFICAT DE PROPRIETE</t>
    </r>
    <r>
      <rPr>
        <sz val="11"/>
        <color rgb="FFFF0000"/>
        <rFont val="Calibri"/>
        <family val="2"/>
        <scheme val="minor"/>
      </rPr>
      <t xml:space="preserve"> 100 DH</t>
    </r>
    <r>
      <rPr>
        <sz val="11"/>
        <color theme="1"/>
        <rFont val="Calibri"/>
        <family val="2"/>
        <scheme val="minor"/>
      </rPr>
      <t xml:space="preserve">/ PLAN CADASTRAL </t>
    </r>
    <r>
      <rPr>
        <sz val="11"/>
        <color rgb="FFFF0000"/>
        <rFont val="Calibri"/>
        <family val="2"/>
        <scheme val="minor"/>
      </rPr>
      <t xml:space="preserve"> 100DH</t>
    </r>
    <r>
      <rPr>
        <sz val="11"/>
        <color theme="1"/>
        <rFont val="Calibri"/>
        <family val="2"/>
        <scheme val="minor"/>
      </rPr>
      <t xml:space="preserve">/CALCUL DE CONTENANCE </t>
    </r>
    <r>
      <rPr>
        <sz val="11"/>
        <color rgb="FFFF0000"/>
        <rFont val="Calibri"/>
        <family val="2"/>
        <scheme val="minor"/>
      </rPr>
      <t>15 DH/</t>
    </r>
    <r>
      <rPr>
        <sz val="11"/>
        <color theme="1"/>
        <rFont val="Calibri"/>
        <family val="2"/>
        <scheme val="minor"/>
      </rPr>
      <t xml:space="preserve">PLAN BETON </t>
    </r>
    <r>
      <rPr>
        <sz val="11"/>
        <color rgb="FFFF0000"/>
        <rFont val="Calibri"/>
        <family val="2"/>
        <scheme val="minor"/>
      </rPr>
      <t>2500</t>
    </r>
    <r>
      <rPr>
        <sz val="11"/>
        <color theme="1"/>
        <rFont val="Calibri"/>
        <family val="2"/>
        <scheme val="minor"/>
      </rPr>
      <t xml:space="preserve"> / BUREAU DE CONTROL </t>
    </r>
    <r>
      <rPr>
        <sz val="11"/>
        <color rgb="FFFF0000"/>
        <rFont val="Calibri"/>
        <family val="2"/>
        <scheme val="minor"/>
      </rPr>
      <t>1500</t>
    </r>
    <r>
      <rPr>
        <sz val="11"/>
        <color theme="1"/>
        <rFont val="Calibri"/>
        <family val="2"/>
        <scheme val="minor"/>
      </rPr>
      <t xml:space="preserve"> /LABORATOIRE </t>
    </r>
    <r>
      <rPr>
        <sz val="11"/>
        <color rgb="FFFF0000"/>
        <rFont val="Calibri"/>
        <family val="2"/>
        <scheme val="minor"/>
      </rPr>
      <t>1500/</t>
    </r>
    <r>
      <rPr>
        <sz val="11"/>
        <color theme="1"/>
        <rFont val="Calibri"/>
        <family val="2"/>
        <scheme val="minor"/>
      </rPr>
      <t xml:space="preserve"> TOPOGRAPHE</t>
    </r>
    <r>
      <rPr>
        <sz val="11"/>
        <color rgb="FFFF0000"/>
        <rFont val="Calibri"/>
        <family val="2"/>
        <scheme val="minor"/>
      </rPr>
      <t xml:space="preserve"> 1200</t>
    </r>
  </si>
  <si>
    <t xml:space="preserve">ITTO LAGHMAMI </t>
  </si>
  <si>
    <t>LOTISSEMENT ALMOSTAKBALE LOT N° 150, TAMNSOURT</t>
  </si>
  <si>
    <r>
      <t xml:space="preserve">CONSTRUCTION D'UN LIOGEMENT EN R+2 </t>
    </r>
    <r>
      <rPr>
        <sz val="11"/>
        <color rgb="FFFF0000"/>
        <rFont val="Calibri"/>
        <family val="2"/>
        <scheme val="minor"/>
      </rPr>
      <t>7500</t>
    </r>
    <r>
      <rPr>
        <sz val="11"/>
        <color theme="1"/>
        <rFont val="Calibri"/>
        <family val="2"/>
        <scheme val="minor"/>
      </rPr>
      <t xml:space="preserve">/ certificat de propriete </t>
    </r>
    <r>
      <rPr>
        <sz val="11"/>
        <color rgb="FFFF0000"/>
        <rFont val="Calibri"/>
        <family val="2"/>
        <scheme val="minor"/>
      </rPr>
      <t>100 dh</t>
    </r>
  </si>
  <si>
    <t>YOUSSEF AIHI</t>
  </si>
  <si>
    <t>CONSTRUCTION  VILLA JUMELEES</t>
  </si>
  <si>
    <t>TAMANSORT</t>
  </si>
  <si>
    <t xml:space="preserve">VIREMENT </t>
  </si>
  <si>
    <t>LATIFA BAABOU</t>
  </si>
  <si>
    <t>PERMIS D'HABITER</t>
  </si>
  <si>
    <t>ABDELMALEK EL KHALYLY</t>
  </si>
  <si>
    <t>CONSTRUCTION D'UN R+3 AVEC S SOL</t>
  </si>
  <si>
    <t>AL KAOUTAR TR 01 PHASE 15 LOT N 54</t>
  </si>
  <si>
    <t>virtement</t>
  </si>
  <si>
    <t>AMENAGEMENT D’UN LOTISSEMENT EN DEUX SECTEURS ( ELGHAZI)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</si>
</sst>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2"/>
      <color rgb="FF0070C0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rgb="FFAE1281"/>
      <name val="Times New Roman"/>
      <family val="1"/>
    </font>
    <font>
      <b/>
      <u/>
      <sz val="9"/>
      <color theme="9" tint="-0.499984740745262"/>
      <name val="Times New Roman"/>
      <family val="1"/>
    </font>
    <font>
      <b/>
      <sz val="20"/>
      <color rgb="FF0070C0"/>
      <name val="Times New Roman"/>
      <family val="1"/>
    </font>
    <font>
      <b/>
      <u/>
      <sz val="9"/>
      <color theme="7" tint="-0.499984740745262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color rgb="FFFF0000"/>
      <name val="Times New Roman"/>
      <family val="1"/>
    </font>
    <font>
      <b/>
      <sz val="10"/>
      <color theme="7" tint="-0.499984740745262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4"/>
      <name val="Times New Roman"/>
      <family val="1"/>
    </font>
    <font>
      <u/>
      <sz val="10"/>
      <name val="Times New Roman"/>
      <family val="1"/>
    </font>
    <font>
      <u/>
      <sz val="10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b/>
      <sz val="11"/>
      <name val="Times New Roman"/>
      <family val="1"/>
    </font>
    <font>
      <sz val="10"/>
      <color rgb="FF00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B3D2FB"/>
        <bgColor rgb="FFBDD6EE"/>
      </patternFill>
    </fill>
    <fill>
      <patternFill patternType="solid">
        <fgColor rgb="FFF2BCE3"/>
        <bgColor rgb="FFBDD6EE"/>
      </patternFill>
    </fill>
    <fill>
      <patternFill patternType="solid">
        <fgColor theme="9" tint="0.59999389629810485"/>
        <bgColor rgb="FFBDD6EE"/>
      </patternFill>
    </fill>
    <fill>
      <patternFill patternType="solid">
        <fgColor rgb="FFFFFF00"/>
        <bgColor rgb="FFBDD6EE"/>
      </patternFill>
    </fill>
    <fill>
      <patternFill patternType="solid">
        <fgColor theme="2"/>
        <bgColor rgb="FFBDD6EE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rgb="FFBDD6E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rgb="FFBDD6EE"/>
      </patternFill>
    </fill>
    <fill>
      <patternFill patternType="solid">
        <fgColor theme="0" tint="-0.14999847407452621"/>
        <bgColor rgb="FFBDD6EE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46">
    <xf numFmtId="0" fontId="0" fillId="0" borderId="0" xfId="0"/>
    <xf numFmtId="0" fontId="0" fillId="0" borderId="1" xfId="0" applyBorder="1"/>
    <xf numFmtId="0" fontId="0" fillId="0" borderId="4" xfId="0" applyBorder="1"/>
    <xf numFmtId="2" fontId="1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4" fontId="8" fillId="7" borderId="1" xfId="0" applyNumberFormat="1" applyFont="1" applyFill="1" applyBorder="1" applyAlignment="1">
      <alignment horizontal="center" vertical="center"/>
    </xf>
    <xf numFmtId="14" fontId="8" fillId="7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14" fontId="18" fillId="7" borderId="1" xfId="0" applyNumberFormat="1" applyFont="1" applyFill="1" applyBorder="1" applyAlignment="1">
      <alignment horizontal="center" vertical="center"/>
    </xf>
    <xf numFmtId="14" fontId="17" fillId="7" borderId="1" xfId="0" applyNumberFormat="1" applyFont="1" applyFill="1" applyBorder="1" applyAlignment="1">
      <alignment horizontal="center" vertical="center"/>
    </xf>
    <xf numFmtId="14" fontId="16" fillId="7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2" xfId="0" applyBorder="1"/>
    <xf numFmtId="0" fontId="19" fillId="7" borderId="1" xfId="0" applyFont="1" applyFill="1" applyBorder="1" applyAlignment="1">
      <alignment vertical="center"/>
    </xf>
    <xf numFmtId="14" fontId="19" fillId="7" borderId="1" xfId="0" applyNumberFormat="1" applyFont="1" applyFill="1" applyBorder="1" applyAlignment="1">
      <alignment horizontal="center" vertical="center"/>
    </xf>
    <xf numFmtId="14" fontId="21" fillId="7" borderId="1" xfId="0" applyNumberFormat="1" applyFont="1" applyFill="1" applyBorder="1" applyAlignment="1">
      <alignment horizontal="center" vertical="center"/>
    </xf>
    <xf numFmtId="14" fontId="20" fillId="7" borderId="1" xfId="0" applyNumberFormat="1" applyFont="1" applyFill="1" applyBorder="1" applyAlignment="1">
      <alignment horizontal="center" vertical="center"/>
    </xf>
    <xf numFmtId="14" fontId="20" fillId="9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6" fillId="0" borderId="1" xfId="0" applyFont="1" applyBorder="1"/>
    <xf numFmtId="14" fontId="22" fillId="7" borderId="1" xfId="0" applyNumberFormat="1" applyFont="1" applyFill="1" applyBorder="1" applyAlignment="1">
      <alignment horizontal="center" vertical="center"/>
    </xf>
    <xf numFmtId="14" fontId="24" fillId="7" borderId="1" xfId="0" applyNumberFormat="1" applyFont="1" applyFill="1" applyBorder="1" applyAlignment="1">
      <alignment horizontal="center" vertical="center"/>
    </xf>
    <xf numFmtId="14" fontId="23" fillId="7" borderId="1" xfId="0" applyNumberFormat="1" applyFont="1" applyFill="1" applyBorder="1" applyAlignment="1">
      <alignment horizontal="center" vertical="center"/>
    </xf>
    <xf numFmtId="0" fontId="0" fillId="0" borderId="6" xfId="0" applyBorder="1"/>
    <xf numFmtId="0" fontId="1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 wrapText="1"/>
    </xf>
    <xf numFmtId="2" fontId="2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/>
    <xf numFmtId="0" fontId="0" fillId="10" borderId="0" xfId="0" applyFill="1"/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2" fontId="27" fillId="10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9" fillId="7" borderId="6" xfId="0" applyFont="1" applyFill="1" applyBorder="1" applyAlignment="1">
      <alignment vertical="center"/>
    </xf>
    <xf numFmtId="0" fontId="23" fillId="7" borderId="6" xfId="0" applyFont="1" applyFill="1" applyBorder="1" applyAlignment="1">
      <alignment horizontal="center" vertical="center"/>
    </xf>
    <xf numFmtId="14" fontId="21" fillId="7" borderId="6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2" fillId="10" borderId="1" xfId="0" applyFont="1" applyFill="1" applyBorder="1" applyAlignment="1">
      <alignment horizontal="center" wrapText="1"/>
    </xf>
    <xf numFmtId="0" fontId="22" fillId="10" borderId="1" xfId="0" applyFont="1" applyFill="1" applyBorder="1" applyAlignment="1">
      <alignment horizontal="center"/>
    </xf>
    <xf numFmtId="0" fontId="18" fillId="10" borderId="1" xfId="0" applyFont="1" applyFill="1" applyBorder="1" applyAlignment="1">
      <alignment horizontal="center"/>
    </xf>
    <xf numFmtId="14" fontId="18" fillId="0" borderId="1" xfId="0" applyNumberFormat="1" applyFont="1" applyBorder="1" applyAlignment="1">
      <alignment horizontal="center"/>
    </xf>
    <xf numFmtId="0" fontId="28" fillId="7" borderId="2" xfId="0" applyFont="1" applyFill="1" applyBorder="1" applyAlignment="1">
      <alignment horizontal="center" vertical="center"/>
    </xf>
    <xf numFmtId="2" fontId="1" fillId="11" borderId="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/>
    </xf>
    <xf numFmtId="0" fontId="15" fillId="7" borderId="2" xfId="0" applyFont="1" applyFill="1" applyBorder="1" applyAlignment="1">
      <alignment horizontal="center" vertical="center"/>
    </xf>
    <xf numFmtId="2" fontId="1" fillId="12" borderId="1" xfId="0" applyNumberFormat="1" applyFont="1" applyFill="1" applyBorder="1" applyAlignment="1">
      <alignment horizontal="center"/>
    </xf>
    <xf numFmtId="2" fontId="1" fillId="7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 wrapText="1"/>
    </xf>
    <xf numFmtId="0" fontId="19" fillId="0" borderId="0" xfId="0" applyFont="1"/>
    <xf numFmtId="0" fontId="16" fillId="7" borderId="2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center" vertical="center"/>
    </xf>
    <xf numFmtId="43" fontId="16" fillId="7" borderId="1" xfId="1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43" fontId="17" fillId="7" borderId="1" xfId="1" applyFont="1" applyFill="1" applyBorder="1" applyAlignment="1">
      <alignment horizontal="center" vertical="center"/>
    </xf>
    <xf numFmtId="0" fontId="1" fillId="0" borderId="1" xfId="0" applyFont="1" applyBorder="1"/>
    <xf numFmtId="14" fontId="16" fillId="7" borderId="1" xfId="1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1" fillId="10" borderId="1" xfId="0" applyFont="1" applyFill="1" applyBorder="1"/>
    <xf numFmtId="0" fontId="29" fillId="7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30" fillId="7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8" fillId="7" borderId="9" xfId="0" applyNumberFormat="1" applyFont="1" applyFill="1" applyBorder="1" applyAlignment="1">
      <alignment horizontal="center" vertical="center"/>
    </xf>
    <xf numFmtId="2" fontId="27" fillId="10" borderId="4" xfId="0" applyNumberFormat="1" applyFont="1" applyFill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8" fillId="7" borderId="10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0" borderId="8" xfId="0" applyFill="1" applyBorder="1" applyAlignment="1">
      <alignment horizontal="center" vertical="center" wrapText="1"/>
    </xf>
    <xf numFmtId="2" fontId="27" fillId="10" borderId="8" xfId="0" applyNumberFormat="1" applyFont="1" applyFill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2" fontId="27" fillId="12" borderId="1" xfId="0" applyNumberFormat="1" applyFont="1" applyFill="1" applyBorder="1" applyAlignment="1">
      <alignment horizontal="center" vertical="center"/>
    </xf>
    <xf numFmtId="2" fontId="27" fillId="11" borderId="1" xfId="0" applyNumberFormat="1" applyFont="1" applyFill="1" applyBorder="1" applyAlignment="1">
      <alignment horizontal="center" vertical="center"/>
    </xf>
    <xf numFmtId="2" fontId="27" fillId="7" borderId="1" xfId="0" applyNumberFormat="1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4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2" fontId="33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10" fillId="11" borderId="1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4" fontId="8" fillId="11" borderId="2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14" fontId="1" fillId="11" borderId="1" xfId="0" applyNumberFormat="1" applyFont="1" applyFill="1" applyBorder="1" applyAlignment="1">
      <alignment horizontal="center" vertical="center"/>
    </xf>
    <xf numFmtId="14" fontId="8" fillId="11" borderId="1" xfId="0" applyNumberFormat="1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14" fontId="0" fillId="11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7" borderId="1" xfId="0" applyFont="1" applyFill="1" applyBorder="1" applyAlignment="1">
      <alignment horizontal="center" vertical="center"/>
    </xf>
    <xf numFmtId="2" fontId="34" fillId="10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center" vertical="center"/>
    </xf>
    <xf numFmtId="14" fontId="16" fillId="11" borderId="1" xfId="0" applyNumberFormat="1" applyFont="1" applyFill="1" applyBorder="1" applyAlignment="1">
      <alignment horizontal="center" vertical="center"/>
    </xf>
    <xf numFmtId="2" fontId="2" fillId="11" borderId="1" xfId="0" applyNumberFormat="1" applyFont="1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2" fontId="33" fillId="11" borderId="1" xfId="0" applyNumberFormat="1" applyFont="1" applyFill="1" applyBorder="1" applyAlignment="1">
      <alignment horizontal="center" vertical="center"/>
    </xf>
    <xf numFmtId="0" fontId="0" fillId="9" borderId="0" xfId="0" applyFill="1"/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2" fontId="2" fillId="9" borderId="1" xfId="0" applyNumberFormat="1" applyFont="1" applyFill="1" applyBorder="1" applyAlignment="1">
      <alignment horizontal="center" vertical="center"/>
    </xf>
    <xf numFmtId="2" fontId="34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/>
    <xf numFmtId="0" fontId="0" fillId="9" borderId="1" xfId="0" applyFill="1" applyBorder="1"/>
    <xf numFmtId="14" fontId="0" fillId="11" borderId="1" xfId="0" applyNumberForma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3" fillId="7" borderId="3" xfId="0" applyFont="1" applyFill="1" applyBorder="1" applyAlignment="1">
      <alignment vertical="center" wrapText="1"/>
    </xf>
    <xf numFmtId="0" fontId="35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vertical="center"/>
    </xf>
    <xf numFmtId="0" fontId="1" fillId="17" borderId="1" xfId="0" applyFont="1" applyFill="1" applyBorder="1" applyAlignment="1">
      <alignment vertical="center" wrapText="1"/>
    </xf>
    <xf numFmtId="2" fontId="2" fillId="17" borderId="1" xfId="0" applyNumberFormat="1" applyFont="1" applyFill="1" applyBorder="1" applyAlignment="1">
      <alignment horizontal="center" vertical="center"/>
    </xf>
    <xf numFmtId="0" fontId="0" fillId="17" borderId="1" xfId="0" applyFill="1" applyBorder="1"/>
    <xf numFmtId="0" fontId="0" fillId="17" borderId="0" xfId="0" applyFill="1"/>
    <xf numFmtId="0" fontId="0" fillId="12" borderId="0" xfId="0" applyFill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2" fontId="34" fillId="1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/>
    </xf>
    <xf numFmtId="2" fontId="1" fillId="10" borderId="1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1" fillId="12" borderId="1" xfId="0" applyNumberFormat="1" applyFont="1" applyFill="1" applyBorder="1" applyAlignment="1">
      <alignment horizontal="center" vertical="center"/>
    </xf>
    <xf numFmtId="2" fontId="18" fillId="10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4" fontId="0" fillId="0" borderId="1" xfId="0" applyNumberFormat="1" applyBorder="1"/>
    <xf numFmtId="0" fontId="12" fillId="7" borderId="2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23" fillId="11" borderId="1" xfId="0" applyFont="1" applyFill="1" applyBorder="1" applyAlignment="1">
      <alignment horizontal="center" vertical="center"/>
    </xf>
    <xf numFmtId="14" fontId="21" fillId="11" borderId="1" xfId="0" applyNumberFormat="1" applyFont="1" applyFill="1" applyBorder="1" applyAlignment="1">
      <alignment horizontal="center" vertical="center"/>
    </xf>
    <xf numFmtId="0" fontId="0" fillId="11" borderId="1" xfId="0" applyFill="1" applyBorder="1"/>
    <xf numFmtId="0" fontId="19" fillId="11" borderId="1" xfId="0" applyFont="1" applyFill="1" applyBorder="1" applyAlignment="1">
      <alignment horizontal="center" vertical="center" wrapText="1"/>
    </xf>
    <xf numFmtId="0" fontId="0" fillId="11" borderId="2" xfId="0" applyFill="1" applyBorder="1"/>
    <xf numFmtId="2" fontId="27" fillId="10" borderId="1" xfId="0" applyNumberFormat="1" applyFont="1" applyFill="1" applyBorder="1" applyAlignment="1">
      <alignment horizontal="center"/>
    </xf>
    <xf numFmtId="2" fontId="34" fillId="11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6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F2BCE3"/>
      <color rgb="FFAE1281"/>
      <color rgb="FFEEEEDE"/>
      <color rgb="FFB3D2FB"/>
      <color rgb="FFEEF6B4"/>
      <color rgb="FFD0DAFC"/>
      <color rgb="FFB2C3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3D2FB"/>
  </sheetPr>
  <dimension ref="A1:LB97"/>
  <sheetViews>
    <sheetView topLeftCell="A65" zoomScale="44" zoomScaleNormal="44" workbookViewId="0">
      <selection activeCell="D69" sqref="D69"/>
    </sheetView>
  </sheetViews>
  <sheetFormatPr baseColWidth="10" defaultColWidth="8.81640625" defaultRowHeight="14.5" x14ac:dyDescent="0.35"/>
  <cols>
    <col min="1" max="1" width="7.81640625" customWidth="1"/>
    <col min="2" max="2" width="71.81640625" customWidth="1"/>
    <col min="3" max="3" width="17.81640625" customWidth="1"/>
    <col min="4" max="4" width="22.453125" customWidth="1"/>
    <col min="5" max="5" width="20.81640625" customWidth="1"/>
    <col min="6" max="6" width="65.81640625" customWidth="1"/>
    <col min="7" max="7" width="16.54296875" customWidth="1"/>
    <col min="8" max="8" width="26.81640625" customWidth="1"/>
    <col min="9" max="9" width="42" customWidth="1"/>
    <col min="10" max="10" width="17.81640625" customWidth="1"/>
    <col min="11" max="11" width="15.81640625" customWidth="1"/>
    <col min="12" max="13" width="15.54296875" style="57" customWidth="1"/>
    <col min="14" max="14" width="15.1796875" customWidth="1"/>
    <col min="15" max="15" width="12.54296875" customWidth="1"/>
    <col min="16" max="16" width="12.81640625" customWidth="1"/>
    <col min="17" max="17" width="15.54296875" customWidth="1"/>
    <col min="18" max="18" width="17.1796875" customWidth="1"/>
    <col min="19" max="19" width="13.1796875" customWidth="1"/>
    <col min="20" max="20" width="12.81640625" customWidth="1"/>
    <col min="21" max="21" width="14" customWidth="1"/>
    <col min="22" max="22" width="12.54296875" customWidth="1"/>
    <col min="23" max="23" width="12.453125" customWidth="1"/>
    <col min="24" max="24" width="13.54296875" customWidth="1"/>
    <col min="25" max="25" width="11.1796875" customWidth="1"/>
    <col min="26" max="27" width="10.453125" customWidth="1"/>
    <col min="28" max="28" width="11.54296875" customWidth="1"/>
    <col min="29" max="29" width="32.1796875" customWidth="1"/>
    <col min="30" max="30" width="31.1796875" customWidth="1"/>
  </cols>
  <sheetData>
    <row r="1" spans="1:30" ht="25" x14ac:dyDescent="0.5">
      <c r="A1" s="217"/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</row>
    <row r="2" spans="1:30" x14ac:dyDescent="0.35">
      <c r="L2"/>
      <c r="M2"/>
    </row>
    <row r="3" spans="1:30" ht="36" customHeight="1" x14ac:dyDescent="0.35">
      <c r="A3" s="216" t="s">
        <v>0</v>
      </c>
      <c r="B3" s="216" t="s">
        <v>1044</v>
      </c>
      <c r="C3" s="212" t="s">
        <v>22</v>
      </c>
      <c r="D3" s="213"/>
      <c r="E3" s="214"/>
      <c r="F3" s="216" t="s">
        <v>2</v>
      </c>
      <c r="G3" s="216" t="s">
        <v>3</v>
      </c>
      <c r="H3" s="216" t="s">
        <v>4</v>
      </c>
      <c r="I3" s="216" t="s">
        <v>5</v>
      </c>
      <c r="J3" s="216" t="s">
        <v>6</v>
      </c>
      <c r="K3" s="216" t="s">
        <v>25</v>
      </c>
      <c r="L3" s="215" t="s">
        <v>1260</v>
      </c>
      <c r="M3" s="218" t="s">
        <v>1261</v>
      </c>
      <c r="N3" s="212" t="s">
        <v>7</v>
      </c>
      <c r="O3" s="213"/>
      <c r="P3" s="214"/>
      <c r="Q3" s="212" t="s">
        <v>8</v>
      </c>
      <c r="R3" s="213"/>
      <c r="S3" s="214"/>
      <c r="T3" s="212" t="s">
        <v>9</v>
      </c>
      <c r="U3" s="213"/>
      <c r="V3" s="214"/>
      <c r="W3" s="212" t="s">
        <v>10</v>
      </c>
      <c r="X3" s="213"/>
      <c r="Y3" s="214"/>
      <c r="Z3" s="212" t="s">
        <v>13</v>
      </c>
      <c r="AA3" s="213"/>
      <c r="AB3" s="214"/>
      <c r="AC3" s="216" t="s">
        <v>14</v>
      </c>
      <c r="AD3" s="216" t="s">
        <v>109</v>
      </c>
    </row>
    <row r="4" spans="1:30" ht="26" x14ac:dyDescent="0.35">
      <c r="A4" s="216"/>
      <c r="B4" s="216"/>
      <c r="C4" s="4" t="s">
        <v>23</v>
      </c>
      <c r="D4" s="4" t="s">
        <v>24</v>
      </c>
      <c r="E4" s="4" t="s">
        <v>1026</v>
      </c>
      <c r="F4" s="216"/>
      <c r="G4" s="216"/>
      <c r="H4" s="216"/>
      <c r="I4" s="216"/>
      <c r="J4" s="216"/>
      <c r="K4" s="216"/>
      <c r="L4" s="215"/>
      <c r="M4" s="219"/>
      <c r="N4" s="4" t="s">
        <v>1</v>
      </c>
      <c r="O4" s="4" t="s">
        <v>11</v>
      </c>
      <c r="P4" s="4" t="s">
        <v>12</v>
      </c>
      <c r="Q4" s="4" t="s">
        <v>1</v>
      </c>
      <c r="R4" s="4" t="s">
        <v>11</v>
      </c>
      <c r="S4" s="4" t="s">
        <v>12</v>
      </c>
      <c r="T4" s="4" t="s">
        <v>1</v>
      </c>
      <c r="U4" s="4" t="s">
        <v>11</v>
      </c>
      <c r="V4" s="4" t="s">
        <v>12</v>
      </c>
      <c r="W4" s="4" t="s">
        <v>1</v>
      </c>
      <c r="X4" s="4" t="s">
        <v>11</v>
      </c>
      <c r="Y4" s="4" t="s">
        <v>12</v>
      </c>
      <c r="Z4" s="4" t="s">
        <v>1</v>
      </c>
      <c r="AA4" s="4" t="s">
        <v>11</v>
      </c>
      <c r="AB4" s="4" t="s">
        <v>12</v>
      </c>
      <c r="AC4" s="216"/>
      <c r="AD4" s="216"/>
    </row>
    <row r="5" spans="1:30" s="69" customFormat="1" ht="66" customHeight="1" x14ac:dyDescent="0.35">
      <c r="A5" s="13" t="s">
        <v>26</v>
      </c>
      <c r="B5" s="66" t="s">
        <v>617</v>
      </c>
      <c r="C5" s="24" t="s">
        <v>621</v>
      </c>
      <c r="D5" s="22">
        <v>45947</v>
      </c>
      <c r="E5" s="67"/>
      <c r="F5" s="8" t="s">
        <v>1052</v>
      </c>
      <c r="G5" s="8">
        <v>98</v>
      </c>
      <c r="H5" s="8"/>
      <c r="I5" s="11" t="s">
        <v>1051</v>
      </c>
      <c r="J5" s="8"/>
      <c r="K5" s="8"/>
      <c r="L5" s="61"/>
      <c r="M5" s="61"/>
      <c r="N5" s="58"/>
      <c r="O5" s="7"/>
      <c r="P5" s="8"/>
      <c r="Q5" s="58"/>
      <c r="R5" s="7"/>
      <c r="S5" s="8"/>
      <c r="T5" s="8"/>
      <c r="U5" s="8"/>
      <c r="V5" s="8"/>
      <c r="W5" s="68"/>
      <c r="X5" s="68"/>
      <c r="Y5" s="68"/>
      <c r="Z5" s="68"/>
      <c r="AA5" s="7"/>
      <c r="AB5" s="68"/>
      <c r="AC5" s="126">
        <f t="shared" ref="AC5:AC66" si="0">+(L5+M5)-O5-R5-U5-X5-AA5</f>
        <v>0</v>
      </c>
      <c r="AD5" s="5"/>
    </row>
    <row r="6" spans="1:30" s="69" customFormat="1" ht="66" customHeight="1" x14ac:dyDescent="0.35">
      <c r="A6" s="13" t="s">
        <v>27</v>
      </c>
      <c r="B6" s="66" t="s">
        <v>561</v>
      </c>
      <c r="C6" s="24" t="s">
        <v>622</v>
      </c>
      <c r="D6" s="22">
        <v>45952</v>
      </c>
      <c r="E6" s="70"/>
      <c r="F6" s="8" t="s">
        <v>1054</v>
      </c>
      <c r="G6" s="8">
        <v>70</v>
      </c>
      <c r="H6" s="11"/>
      <c r="I6" s="11" t="s">
        <v>1053</v>
      </c>
      <c r="J6" s="11"/>
      <c r="K6" s="11"/>
      <c r="L6" s="61"/>
      <c r="M6" s="61"/>
      <c r="N6" s="58"/>
      <c r="O6" s="7"/>
      <c r="P6" s="8"/>
      <c r="Q6" s="58"/>
      <c r="R6" s="7"/>
      <c r="S6" s="8"/>
      <c r="T6" s="11"/>
      <c r="U6" s="11"/>
      <c r="V6" s="11"/>
      <c r="W6" s="5"/>
      <c r="X6" s="5"/>
      <c r="Y6" s="5"/>
      <c r="Z6" s="5"/>
      <c r="AA6" s="7"/>
      <c r="AB6" s="5"/>
      <c r="AC6" s="126">
        <f t="shared" si="0"/>
        <v>0</v>
      </c>
      <c r="AD6" s="5"/>
    </row>
    <row r="7" spans="1:30" s="69" customFormat="1" ht="66" customHeight="1" x14ac:dyDescent="0.35">
      <c r="A7" s="13" t="s">
        <v>28</v>
      </c>
      <c r="B7" s="66" t="s">
        <v>562</v>
      </c>
      <c r="C7" s="24" t="s">
        <v>623</v>
      </c>
      <c r="D7" s="22">
        <v>45930</v>
      </c>
      <c r="E7" s="71"/>
      <c r="F7" s="8" t="s">
        <v>1056</v>
      </c>
      <c r="G7" s="8"/>
      <c r="H7" s="5"/>
      <c r="I7" s="11" t="s">
        <v>1057</v>
      </c>
      <c r="J7" s="5"/>
      <c r="K7" s="5"/>
      <c r="L7" s="61"/>
      <c r="M7" s="61"/>
      <c r="N7" s="58"/>
      <c r="O7" s="7"/>
      <c r="P7" s="8"/>
      <c r="Q7" s="58"/>
      <c r="R7" s="7"/>
      <c r="S7" s="8"/>
      <c r="T7" s="5"/>
      <c r="U7" s="5"/>
      <c r="V7" s="5"/>
      <c r="W7" s="5"/>
      <c r="X7" s="5"/>
      <c r="Y7" s="5"/>
      <c r="Z7" s="5"/>
      <c r="AA7" s="7"/>
      <c r="AB7" s="5"/>
      <c r="AC7" s="126">
        <f t="shared" si="0"/>
        <v>0</v>
      </c>
      <c r="AD7" s="5"/>
    </row>
    <row r="8" spans="1:30" s="69" customFormat="1" ht="66" customHeight="1" x14ac:dyDescent="0.35">
      <c r="A8" s="13" t="s">
        <v>29</v>
      </c>
      <c r="B8" s="66" t="s">
        <v>563</v>
      </c>
      <c r="C8" s="24" t="s">
        <v>624</v>
      </c>
      <c r="D8" s="22">
        <v>45755</v>
      </c>
      <c r="E8" s="71"/>
      <c r="F8" s="8" t="s">
        <v>1107</v>
      </c>
      <c r="G8" s="8">
        <v>216</v>
      </c>
      <c r="H8" s="5"/>
      <c r="I8" s="11" t="s">
        <v>1108</v>
      </c>
      <c r="J8" s="5"/>
      <c r="K8" s="5"/>
      <c r="L8" s="61"/>
      <c r="M8" s="61"/>
      <c r="N8" s="58"/>
      <c r="O8" s="7"/>
      <c r="P8" s="8"/>
      <c r="Q8" s="58"/>
      <c r="R8" s="7"/>
      <c r="S8" s="8"/>
      <c r="T8" s="5"/>
      <c r="U8" s="5"/>
      <c r="V8" s="5"/>
      <c r="W8" s="5"/>
      <c r="X8" s="5"/>
      <c r="Y8" s="5"/>
      <c r="Z8" s="5"/>
      <c r="AA8" s="7"/>
      <c r="AB8" s="5"/>
      <c r="AC8" s="126">
        <f t="shared" si="0"/>
        <v>0</v>
      </c>
      <c r="AD8" s="5"/>
    </row>
    <row r="9" spans="1:30" s="69" customFormat="1" ht="66" customHeight="1" x14ac:dyDescent="0.35">
      <c r="A9" s="13" t="s">
        <v>30</v>
      </c>
      <c r="B9" s="66" t="s">
        <v>564</v>
      </c>
      <c r="C9" s="24" t="s">
        <v>625</v>
      </c>
      <c r="D9" s="22">
        <v>45873</v>
      </c>
      <c r="E9" s="71"/>
      <c r="F9" s="8" t="s">
        <v>1054</v>
      </c>
      <c r="G9" s="8">
        <v>88</v>
      </c>
      <c r="H9" s="5"/>
      <c r="I9" s="11" t="s">
        <v>1109</v>
      </c>
      <c r="J9" s="5"/>
      <c r="K9" s="5"/>
      <c r="L9" s="61"/>
      <c r="M9" s="61"/>
      <c r="N9" s="58"/>
      <c r="O9" s="7"/>
      <c r="P9" s="8"/>
      <c r="Q9" s="58"/>
      <c r="R9" s="7"/>
      <c r="S9" s="8"/>
      <c r="T9" s="5"/>
      <c r="U9" s="5"/>
      <c r="V9" s="5"/>
      <c r="W9" s="5"/>
      <c r="X9" s="5"/>
      <c r="Y9" s="5"/>
      <c r="Z9" s="5"/>
      <c r="AA9" s="7"/>
      <c r="AB9" s="5"/>
      <c r="AC9" s="126">
        <f t="shared" si="0"/>
        <v>0</v>
      </c>
      <c r="AD9" s="5"/>
    </row>
    <row r="10" spans="1:30" s="69" customFormat="1" ht="66" customHeight="1" x14ac:dyDescent="0.35">
      <c r="A10" s="13" t="s">
        <v>31</v>
      </c>
      <c r="B10" s="66" t="s">
        <v>565</v>
      </c>
      <c r="C10" s="24" t="s">
        <v>626</v>
      </c>
      <c r="D10" s="22">
        <v>45867</v>
      </c>
      <c r="E10" s="71"/>
      <c r="F10" s="8" t="s">
        <v>1110</v>
      </c>
      <c r="G10" s="8">
        <v>120</v>
      </c>
      <c r="H10" s="5"/>
      <c r="I10" s="11"/>
      <c r="J10" s="5"/>
      <c r="K10" s="5"/>
      <c r="L10" s="61"/>
      <c r="M10" s="61"/>
      <c r="N10" s="58">
        <v>45940</v>
      </c>
      <c r="O10" s="7">
        <v>14000</v>
      </c>
      <c r="P10" s="8" t="s">
        <v>18</v>
      </c>
      <c r="Q10" s="58"/>
      <c r="R10" s="7"/>
      <c r="S10" s="8"/>
      <c r="T10" s="5"/>
      <c r="U10" s="5"/>
      <c r="V10" s="5"/>
      <c r="W10" s="5"/>
      <c r="X10" s="5"/>
      <c r="Y10" s="5"/>
      <c r="Z10" s="5"/>
      <c r="AA10" s="7"/>
      <c r="AB10" s="5"/>
      <c r="AC10" s="184">
        <f t="shared" si="0"/>
        <v>-14000</v>
      </c>
      <c r="AD10" s="5"/>
    </row>
    <row r="11" spans="1:30" s="69" customFormat="1" ht="66" customHeight="1" x14ac:dyDescent="0.35">
      <c r="A11" s="13" t="s">
        <v>32</v>
      </c>
      <c r="B11" s="66" t="s">
        <v>566</v>
      </c>
      <c r="C11" s="24" t="s">
        <v>627</v>
      </c>
      <c r="D11" s="22">
        <v>45957</v>
      </c>
      <c r="E11" s="71"/>
      <c r="F11" s="8" t="s">
        <v>1054</v>
      </c>
      <c r="G11" s="8">
        <v>85</v>
      </c>
      <c r="H11" s="5"/>
      <c r="I11" s="11" t="s">
        <v>1090</v>
      </c>
      <c r="J11" s="5"/>
      <c r="K11" s="5"/>
      <c r="L11" s="61"/>
      <c r="M11" s="61"/>
      <c r="N11" s="58"/>
      <c r="O11" s="7"/>
      <c r="P11" s="8"/>
      <c r="Q11" s="58"/>
      <c r="R11" s="7"/>
      <c r="S11" s="8"/>
      <c r="T11" s="5"/>
      <c r="U11" s="5"/>
      <c r="V11" s="5"/>
      <c r="W11" s="5"/>
      <c r="X11" s="5"/>
      <c r="Y11" s="5"/>
      <c r="Z11" s="5"/>
      <c r="AA11" s="7"/>
      <c r="AB11" s="5"/>
      <c r="AC11" s="126">
        <f t="shared" si="0"/>
        <v>0</v>
      </c>
      <c r="AD11" s="5"/>
    </row>
    <row r="12" spans="1:30" s="69" customFormat="1" ht="66" customHeight="1" x14ac:dyDescent="0.35">
      <c r="A12" s="13" t="s">
        <v>33</v>
      </c>
      <c r="B12" s="66" t="s">
        <v>567</v>
      </c>
      <c r="C12" s="24" t="s">
        <v>628</v>
      </c>
      <c r="D12" s="22">
        <v>45755</v>
      </c>
      <c r="E12" s="71"/>
      <c r="F12" s="8" t="s">
        <v>1111</v>
      </c>
      <c r="G12" s="8">
        <v>186</v>
      </c>
      <c r="H12" s="5"/>
      <c r="I12" s="11" t="s">
        <v>1113</v>
      </c>
      <c r="J12" s="5"/>
      <c r="K12" s="5"/>
      <c r="L12" s="61"/>
      <c r="M12" s="61"/>
      <c r="N12" s="58"/>
      <c r="O12" s="7"/>
      <c r="P12" s="8"/>
      <c r="Q12" s="58"/>
      <c r="R12" s="7"/>
      <c r="S12" s="8"/>
      <c r="T12" s="5"/>
      <c r="U12" s="5"/>
      <c r="V12" s="5"/>
      <c r="W12" s="5"/>
      <c r="X12" s="5"/>
      <c r="Y12" s="5"/>
      <c r="Z12" s="5"/>
      <c r="AA12" s="7"/>
      <c r="AB12" s="5"/>
      <c r="AC12" s="126">
        <f t="shared" si="0"/>
        <v>0</v>
      </c>
      <c r="AD12" s="5"/>
    </row>
    <row r="13" spans="1:30" s="69" customFormat="1" ht="66" customHeight="1" x14ac:dyDescent="0.35">
      <c r="A13" s="13" t="s">
        <v>34</v>
      </c>
      <c r="B13" s="66" t="s">
        <v>568</v>
      </c>
      <c r="C13" s="24" t="s">
        <v>629</v>
      </c>
      <c r="D13" s="22">
        <v>45755</v>
      </c>
      <c r="E13" s="71"/>
      <c r="F13" s="8" t="s">
        <v>1111</v>
      </c>
      <c r="G13" s="8">
        <v>224</v>
      </c>
      <c r="H13" s="5"/>
      <c r="I13" s="11" t="s">
        <v>1112</v>
      </c>
      <c r="J13" s="5"/>
      <c r="K13" s="5"/>
      <c r="L13" s="61"/>
      <c r="M13" s="61"/>
      <c r="N13" s="58"/>
      <c r="O13" s="7"/>
      <c r="P13" s="8"/>
      <c r="Q13" s="58"/>
      <c r="R13" s="7"/>
      <c r="S13" s="8"/>
      <c r="T13" s="5"/>
      <c r="U13" s="5"/>
      <c r="V13" s="5"/>
      <c r="W13" s="5"/>
      <c r="X13" s="5"/>
      <c r="Y13" s="5"/>
      <c r="Z13" s="5"/>
      <c r="AA13" s="7"/>
      <c r="AB13" s="5"/>
      <c r="AC13" s="126">
        <f t="shared" si="0"/>
        <v>0</v>
      </c>
      <c r="AD13" s="5"/>
    </row>
    <row r="14" spans="1:30" s="69" customFormat="1" ht="66" customHeight="1" x14ac:dyDescent="0.35">
      <c r="A14" s="13" t="s">
        <v>35</v>
      </c>
      <c r="B14" s="66" t="s">
        <v>1087</v>
      </c>
      <c r="C14" s="12"/>
      <c r="D14" s="73"/>
      <c r="E14" s="5"/>
      <c r="F14" s="8" t="s">
        <v>1088</v>
      </c>
      <c r="G14" s="8">
        <v>237</v>
      </c>
      <c r="H14" s="8" t="s">
        <v>1278</v>
      </c>
      <c r="I14" s="11" t="s">
        <v>1089</v>
      </c>
      <c r="J14" s="5"/>
      <c r="K14" s="5"/>
      <c r="L14" s="61">
        <v>45000</v>
      </c>
      <c r="M14" s="61"/>
      <c r="N14" s="58">
        <v>46133</v>
      </c>
      <c r="O14" s="7">
        <v>10000</v>
      </c>
      <c r="P14" s="8" t="s">
        <v>18</v>
      </c>
      <c r="Q14" s="58"/>
      <c r="R14" s="7"/>
      <c r="S14" s="8"/>
      <c r="T14" s="5"/>
      <c r="U14" s="5"/>
      <c r="V14" s="5"/>
      <c r="W14" s="5"/>
      <c r="X14" s="5"/>
      <c r="Y14" s="5"/>
      <c r="Z14" s="5"/>
      <c r="AA14" s="7"/>
      <c r="AB14" s="5"/>
      <c r="AC14" s="124">
        <f t="shared" si="0"/>
        <v>35000</v>
      </c>
      <c r="AD14" s="5"/>
    </row>
    <row r="15" spans="1:30" s="69" customFormat="1" ht="66" customHeight="1" x14ac:dyDescent="0.35">
      <c r="A15" s="13" t="s">
        <v>36</v>
      </c>
      <c r="B15" s="66" t="s">
        <v>569</v>
      </c>
      <c r="C15" s="24" t="s">
        <v>631</v>
      </c>
      <c r="D15" s="22">
        <v>45957</v>
      </c>
      <c r="E15" s="71"/>
      <c r="F15" s="8" t="s">
        <v>1105</v>
      </c>
      <c r="G15" s="8">
        <v>85</v>
      </c>
      <c r="H15" s="5"/>
      <c r="I15" s="11" t="s">
        <v>1106</v>
      </c>
      <c r="J15" s="5"/>
      <c r="K15" s="5"/>
      <c r="L15" s="61"/>
      <c r="M15" s="61"/>
      <c r="N15" s="58"/>
      <c r="O15" s="7"/>
      <c r="P15" s="8"/>
      <c r="Q15" s="58"/>
      <c r="R15" s="7"/>
      <c r="S15" s="8"/>
      <c r="T15" s="5"/>
      <c r="U15" s="5"/>
      <c r="V15" s="5"/>
      <c r="W15" s="5"/>
      <c r="X15" s="5"/>
      <c r="Y15" s="5"/>
      <c r="Z15" s="5"/>
      <c r="AA15" s="7"/>
      <c r="AB15" s="5"/>
      <c r="AC15" s="126">
        <f t="shared" si="0"/>
        <v>0</v>
      </c>
      <c r="AD15" s="5"/>
    </row>
    <row r="16" spans="1:30" s="69" customFormat="1" ht="66" customHeight="1" x14ac:dyDescent="0.35">
      <c r="A16" s="13" t="s">
        <v>37</v>
      </c>
      <c r="B16" s="66" t="s">
        <v>570</v>
      </c>
      <c r="C16" s="24" t="s">
        <v>632</v>
      </c>
      <c r="D16" s="22">
        <v>45939</v>
      </c>
      <c r="E16" s="71"/>
      <c r="F16" s="60" t="s">
        <v>1031</v>
      </c>
      <c r="G16" s="8"/>
      <c r="H16" s="5"/>
      <c r="I16" s="11"/>
      <c r="J16" s="5"/>
      <c r="K16" s="59">
        <v>45990</v>
      </c>
      <c r="L16" s="61">
        <v>10200</v>
      </c>
      <c r="M16" s="61"/>
      <c r="N16" s="58"/>
      <c r="O16" s="7"/>
      <c r="P16" s="8"/>
      <c r="Q16" s="58"/>
      <c r="R16" s="7"/>
      <c r="S16" s="8"/>
      <c r="T16" s="5"/>
      <c r="U16" s="5"/>
      <c r="V16" s="5"/>
      <c r="W16" s="5"/>
      <c r="X16" s="5"/>
      <c r="Y16" s="5"/>
      <c r="Z16" s="5"/>
      <c r="AA16" s="7"/>
      <c r="AB16" s="5"/>
      <c r="AC16" s="124">
        <f>+(L16+M16)-O16-R16-U16-X16-AA16</f>
        <v>10200</v>
      </c>
      <c r="AD16" s="5"/>
    </row>
    <row r="17" spans="1:30" s="69" customFormat="1" ht="66" customHeight="1" x14ac:dyDescent="0.35">
      <c r="A17" s="13" t="s">
        <v>38</v>
      </c>
      <c r="B17" s="66" t="s">
        <v>571</v>
      </c>
      <c r="C17" s="24" t="s">
        <v>633</v>
      </c>
      <c r="D17" s="22">
        <v>45940</v>
      </c>
      <c r="E17" s="71"/>
      <c r="F17" s="60" t="s">
        <v>17</v>
      </c>
      <c r="G17" s="8">
        <v>95</v>
      </c>
      <c r="H17" s="5"/>
      <c r="I17" s="11" t="s">
        <v>1071</v>
      </c>
      <c r="J17" s="5"/>
      <c r="K17" s="5"/>
      <c r="L17" s="61">
        <v>8500</v>
      </c>
      <c r="M17" s="61"/>
      <c r="N17" s="58">
        <v>45925</v>
      </c>
      <c r="O17" s="7">
        <v>5000</v>
      </c>
      <c r="P17" s="8" t="s">
        <v>19</v>
      </c>
      <c r="Q17" s="58"/>
      <c r="R17" s="7"/>
      <c r="S17" s="8"/>
      <c r="T17" s="5"/>
      <c r="U17" s="5"/>
      <c r="V17" s="5"/>
      <c r="W17" s="5"/>
      <c r="X17" s="5"/>
      <c r="Y17" s="5"/>
      <c r="Z17" s="5"/>
      <c r="AA17" s="7"/>
      <c r="AB17" s="5"/>
      <c r="AC17" s="124">
        <f t="shared" si="0"/>
        <v>3500</v>
      </c>
      <c r="AD17" s="5"/>
    </row>
    <row r="18" spans="1:30" s="69" customFormat="1" ht="66" customHeight="1" x14ac:dyDescent="0.35">
      <c r="A18" s="13" t="s">
        <v>39</v>
      </c>
      <c r="B18" s="66" t="s">
        <v>572</v>
      </c>
      <c r="C18" s="24" t="s">
        <v>634</v>
      </c>
      <c r="D18" s="22">
        <v>45852</v>
      </c>
      <c r="E18" s="71"/>
      <c r="F18" s="11" t="s">
        <v>1088</v>
      </c>
      <c r="G18" s="8">
        <v>967</v>
      </c>
      <c r="H18" s="5"/>
      <c r="I18" s="11" t="s">
        <v>1117</v>
      </c>
      <c r="J18" s="5"/>
      <c r="K18" s="5"/>
      <c r="L18" s="61"/>
      <c r="M18" s="61"/>
      <c r="N18" s="58"/>
      <c r="O18" s="7"/>
      <c r="P18" s="8"/>
      <c r="Q18" s="58"/>
      <c r="R18" s="7"/>
      <c r="S18" s="8"/>
      <c r="T18" s="5"/>
      <c r="U18" s="5"/>
      <c r="V18" s="5"/>
      <c r="W18" s="5"/>
      <c r="X18" s="5"/>
      <c r="Y18" s="5"/>
      <c r="Z18" s="5"/>
      <c r="AA18" s="7"/>
      <c r="AB18" s="5"/>
      <c r="AC18" s="126">
        <f t="shared" si="0"/>
        <v>0</v>
      </c>
      <c r="AD18" s="5"/>
    </row>
    <row r="19" spans="1:30" s="69" customFormat="1" ht="66" customHeight="1" x14ac:dyDescent="0.35">
      <c r="A19" s="13" t="s">
        <v>40</v>
      </c>
      <c r="B19" s="66" t="s">
        <v>573</v>
      </c>
      <c r="C19" s="24" t="s">
        <v>635</v>
      </c>
      <c r="D19" s="22">
        <v>45866</v>
      </c>
      <c r="E19" s="71"/>
      <c r="F19" s="11" t="s">
        <v>1111</v>
      </c>
      <c r="G19" s="8">
        <v>126</v>
      </c>
      <c r="H19" s="5"/>
      <c r="I19" s="11" t="s">
        <v>1116</v>
      </c>
      <c r="J19" s="5"/>
      <c r="K19" s="5"/>
      <c r="L19" s="61"/>
      <c r="M19" s="61"/>
      <c r="N19" s="58"/>
      <c r="O19" s="7"/>
      <c r="P19" s="8"/>
      <c r="Q19" s="58"/>
      <c r="R19" s="7"/>
      <c r="S19" s="8"/>
      <c r="T19" s="5"/>
      <c r="U19" s="5"/>
      <c r="V19" s="5"/>
      <c r="W19" s="5"/>
      <c r="X19" s="5"/>
      <c r="Y19" s="5"/>
      <c r="Z19" s="5"/>
      <c r="AA19" s="7"/>
      <c r="AB19" s="5"/>
      <c r="AC19" s="126">
        <f t="shared" si="0"/>
        <v>0</v>
      </c>
      <c r="AD19" s="5"/>
    </row>
    <row r="20" spans="1:30" s="69" customFormat="1" ht="66" customHeight="1" x14ac:dyDescent="0.35">
      <c r="A20" s="13" t="s">
        <v>41</v>
      </c>
      <c r="B20" s="66" t="s">
        <v>574</v>
      </c>
      <c r="C20" s="24" t="s">
        <v>636</v>
      </c>
      <c r="D20" s="22">
        <v>45861</v>
      </c>
      <c r="E20" s="71"/>
      <c r="F20" s="11" t="s">
        <v>1114</v>
      </c>
      <c r="G20" s="8">
        <v>322</v>
      </c>
      <c r="H20" s="5"/>
      <c r="I20" s="11" t="s">
        <v>1115</v>
      </c>
      <c r="J20" s="5"/>
      <c r="K20" s="5"/>
      <c r="L20" s="61"/>
      <c r="M20" s="61"/>
      <c r="N20" s="58"/>
      <c r="O20" s="7"/>
      <c r="P20" s="8"/>
      <c r="Q20" s="58"/>
      <c r="R20" s="7"/>
      <c r="S20" s="8"/>
      <c r="T20" s="5"/>
      <c r="U20" s="5"/>
      <c r="V20" s="5"/>
      <c r="W20" s="5"/>
      <c r="X20" s="5"/>
      <c r="Y20" s="5"/>
      <c r="Z20" s="5"/>
      <c r="AA20" s="5"/>
      <c r="AB20" s="5"/>
      <c r="AC20" s="126">
        <f t="shared" si="0"/>
        <v>0</v>
      </c>
      <c r="AD20" s="5"/>
    </row>
    <row r="21" spans="1:30" s="69" customFormat="1" ht="66" customHeight="1" x14ac:dyDescent="0.35">
      <c r="A21" s="13" t="s">
        <v>42</v>
      </c>
      <c r="B21" s="66" t="s">
        <v>1072</v>
      </c>
      <c r="C21" s="24" t="s">
        <v>637</v>
      </c>
      <c r="D21" s="22">
        <v>45874</v>
      </c>
      <c r="E21" s="71"/>
      <c r="F21" s="60" t="s">
        <v>1032</v>
      </c>
      <c r="G21" s="8">
        <v>226</v>
      </c>
      <c r="H21" s="5"/>
      <c r="I21" s="11" t="s">
        <v>1073</v>
      </c>
      <c r="J21" s="5"/>
      <c r="K21" s="59">
        <v>45990</v>
      </c>
      <c r="L21" s="61">
        <v>12500</v>
      </c>
      <c r="M21" s="61"/>
      <c r="N21" s="58"/>
      <c r="O21" s="7"/>
      <c r="P21" s="8"/>
      <c r="Q21" s="58"/>
      <c r="R21" s="7"/>
      <c r="S21" s="8"/>
      <c r="T21" s="5"/>
      <c r="U21" s="5"/>
      <c r="V21" s="5"/>
      <c r="W21" s="5"/>
      <c r="X21" s="5"/>
      <c r="Y21" s="5"/>
      <c r="Z21" s="5"/>
      <c r="AA21" s="5"/>
      <c r="AB21" s="5"/>
      <c r="AC21" s="124">
        <f t="shared" si="0"/>
        <v>12500</v>
      </c>
      <c r="AD21" s="5"/>
    </row>
    <row r="22" spans="1:30" s="69" customFormat="1" ht="66" customHeight="1" x14ac:dyDescent="0.35">
      <c r="A22" s="13" t="s">
        <v>43</v>
      </c>
      <c r="B22" s="66" t="s">
        <v>575</v>
      </c>
      <c r="C22" s="24" t="s">
        <v>638</v>
      </c>
      <c r="D22" s="22">
        <v>45845</v>
      </c>
      <c r="E22" s="71"/>
      <c r="F22" s="60" t="s">
        <v>20</v>
      </c>
      <c r="G22" s="8">
        <v>217</v>
      </c>
      <c r="H22" s="5"/>
      <c r="I22" s="11" t="s">
        <v>1074</v>
      </c>
      <c r="J22" s="5"/>
      <c r="K22" s="5"/>
      <c r="L22" s="61">
        <v>18000</v>
      </c>
      <c r="M22" s="61"/>
      <c r="N22" s="58">
        <v>45967</v>
      </c>
      <c r="O22" s="7">
        <v>5000</v>
      </c>
      <c r="P22" s="8" t="s">
        <v>19</v>
      </c>
      <c r="Q22" s="58"/>
      <c r="R22" s="7"/>
      <c r="S22" s="8"/>
      <c r="T22" s="5"/>
      <c r="U22" s="5"/>
      <c r="V22" s="5"/>
      <c r="W22" s="5"/>
      <c r="X22" s="5"/>
      <c r="Y22" s="5"/>
      <c r="Z22" s="5"/>
      <c r="AA22" s="5"/>
      <c r="AB22" s="5"/>
      <c r="AC22" s="124">
        <f t="shared" si="0"/>
        <v>13000</v>
      </c>
      <c r="AD22" s="5"/>
    </row>
    <row r="23" spans="1:30" s="69" customFormat="1" ht="80.5" customHeight="1" x14ac:dyDescent="0.35">
      <c r="A23" s="13" t="s">
        <v>44</v>
      </c>
      <c r="B23" s="81" t="s">
        <v>576</v>
      </c>
      <c r="C23" s="24" t="s">
        <v>639</v>
      </c>
      <c r="D23" s="22">
        <v>45867</v>
      </c>
      <c r="E23" s="71"/>
      <c r="F23" s="11" t="s">
        <v>1045</v>
      </c>
      <c r="G23" s="11">
        <v>215</v>
      </c>
      <c r="H23" s="11"/>
      <c r="I23" s="11" t="s">
        <v>1075</v>
      </c>
      <c r="J23" s="5"/>
      <c r="K23" s="5"/>
      <c r="L23" s="61">
        <f>18000+10500</f>
        <v>28500</v>
      </c>
      <c r="M23" s="61"/>
      <c r="N23" s="58">
        <v>45840</v>
      </c>
      <c r="O23" s="7">
        <v>5000</v>
      </c>
      <c r="P23" s="8" t="s">
        <v>1029</v>
      </c>
      <c r="Q23" s="58"/>
      <c r="R23" s="7"/>
      <c r="S23" s="8"/>
      <c r="T23" s="5"/>
      <c r="U23" s="5"/>
      <c r="V23" s="5"/>
      <c r="W23" s="5"/>
      <c r="X23" s="5"/>
      <c r="Y23" s="5"/>
      <c r="Z23" s="5"/>
      <c r="AA23" s="5"/>
      <c r="AB23" s="5"/>
      <c r="AC23" s="124">
        <f t="shared" si="0"/>
        <v>23500</v>
      </c>
      <c r="AD23" s="5"/>
    </row>
    <row r="24" spans="1:30" s="69" customFormat="1" ht="66" customHeight="1" x14ac:dyDescent="0.35">
      <c r="A24" s="139" t="s">
        <v>45</v>
      </c>
      <c r="B24" s="140" t="s">
        <v>577</v>
      </c>
      <c r="C24" s="141" t="s">
        <v>640</v>
      </c>
      <c r="D24" s="148">
        <v>45870</v>
      </c>
      <c r="E24" s="149"/>
      <c r="F24" s="146" t="s">
        <v>1212</v>
      </c>
      <c r="G24" s="146">
        <v>403</v>
      </c>
      <c r="H24" s="146"/>
      <c r="I24" s="146" t="s">
        <v>1213</v>
      </c>
      <c r="J24" s="145"/>
      <c r="K24" s="145"/>
      <c r="L24" s="125">
        <v>19200</v>
      </c>
      <c r="M24" s="125"/>
      <c r="N24" s="150">
        <v>46246</v>
      </c>
      <c r="O24" s="82">
        <v>10000</v>
      </c>
      <c r="P24" s="151" t="s">
        <v>18</v>
      </c>
      <c r="Q24" s="147">
        <v>46132</v>
      </c>
      <c r="R24" s="82">
        <v>9200</v>
      </c>
      <c r="S24" s="144" t="s">
        <v>18</v>
      </c>
      <c r="T24" s="145"/>
      <c r="U24" s="145"/>
      <c r="V24" s="151"/>
      <c r="W24" s="145"/>
      <c r="X24" s="145"/>
      <c r="Y24" s="145"/>
      <c r="Z24" s="145"/>
      <c r="AA24" s="145"/>
      <c r="AB24" s="145"/>
      <c r="AC24" s="125">
        <f t="shared" si="0"/>
        <v>0</v>
      </c>
      <c r="AD24" s="5"/>
    </row>
    <row r="25" spans="1:30" s="69" customFormat="1" ht="66" customHeight="1" x14ac:dyDescent="0.35">
      <c r="A25" s="13" t="s">
        <v>46</v>
      </c>
      <c r="B25" s="66" t="s">
        <v>1076</v>
      </c>
      <c r="C25" s="24" t="s">
        <v>641</v>
      </c>
      <c r="D25" s="22">
        <v>45881</v>
      </c>
      <c r="E25" s="71"/>
      <c r="F25" s="60" t="s">
        <v>20</v>
      </c>
      <c r="G25" s="8">
        <v>120</v>
      </c>
      <c r="H25" s="5"/>
      <c r="I25" s="11" t="s">
        <v>1077</v>
      </c>
      <c r="J25" s="5"/>
      <c r="K25" s="5"/>
      <c r="L25" s="61">
        <v>14000</v>
      </c>
      <c r="M25" s="61"/>
      <c r="N25" s="58">
        <v>45807</v>
      </c>
      <c r="O25" s="7">
        <v>5000</v>
      </c>
      <c r="P25" s="8" t="s">
        <v>19</v>
      </c>
      <c r="Q25" s="58">
        <v>45695</v>
      </c>
      <c r="R25" s="7">
        <v>2000</v>
      </c>
      <c r="S25" s="8" t="s">
        <v>19</v>
      </c>
      <c r="T25" s="5"/>
      <c r="U25" s="5"/>
      <c r="V25" s="5"/>
      <c r="W25" s="5"/>
      <c r="X25" s="5"/>
      <c r="Y25" s="5"/>
      <c r="Z25" s="5"/>
      <c r="AA25" s="5"/>
      <c r="AB25" s="5"/>
      <c r="AC25" s="124">
        <f t="shared" si="0"/>
        <v>7000</v>
      </c>
      <c r="AD25" s="5"/>
    </row>
    <row r="26" spans="1:30" s="69" customFormat="1" ht="66" customHeight="1" x14ac:dyDescent="0.35">
      <c r="A26" s="13" t="s">
        <v>47</v>
      </c>
      <c r="B26" s="66" t="s">
        <v>1306</v>
      </c>
      <c r="C26" s="24" t="s">
        <v>642</v>
      </c>
      <c r="D26" s="22">
        <v>45880</v>
      </c>
      <c r="E26" s="71"/>
      <c r="F26" s="60" t="s">
        <v>1386</v>
      </c>
      <c r="G26" s="8"/>
      <c r="H26" s="5"/>
      <c r="I26" s="11"/>
      <c r="J26" s="5"/>
      <c r="K26" s="58">
        <v>45940</v>
      </c>
      <c r="L26" s="61">
        <f>11500+5000</f>
        <v>16500</v>
      </c>
      <c r="M26" s="61"/>
      <c r="N26" s="58"/>
      <c r="O26" s="7"/>
      <c r="P26" s="8"/>
      <c r="Q26" s="58"/>
      <c r="R26" s="7"/>
      <c r="S26" s="8"/>
      <c r="T26" s="5"/>
      <c r="U26" s="5"/>
      <c r="V26" s="5"/>
      <c r="W26" s="5"/>
      <c r="X26" s="5"/>
      <c r="Y26" s="5"/>
      <c r="Z26" s="5"/>
      <c r="AA26" s="5"/>
      <c r="AB26" s="5"/>
      <c r="AC26" s="124">
        <f t="shared" si="0"/>
        <v>16500</v>
      </c>
      <c r="AD26" s="5"/>
    </row>
    <row r="27" spans="1:30" s="69" customFormat="1" ht="66" customHeight="1" x14ac:dyDescent="0.35">
      <c r="A27" s="13" t="s">
        <v>48</v>
      </c>
      <c r="B27" s="66" t="s">
        <v>578</v>
      </c>
      <c r="C27" s="24" t="s">
        <v>643</v>
      </c>
      <c r="D27" s="22">
        <v>45891</v>
      </c>
      <c r="E27" s="71"/>
      <c r="F27" s="5"/>
      <c r="G27" s="8"/>
      <c r="H27" s="5"/>
      <c r="I27" s="11"/>
      <c r="J27" s="5"/>
      <c r="K27" s="5"/>
      <c r="L27" s="61"/>
      <c r="M27" s="61"/>
      <c r="N27" s="58"/>
      <c r="O27" s="7"/>
      <c r="P27" s="8"/>
      <c r="Q27" s="58"/>
      <c r="R27" s="7"/>
      <c r="S27" s="8"/>
      <c r="T27" s="5"/>
      <c r="U27" s="5"/>
      <c r="V27" s="5"/>
      <c r="W27" s="5"/>
      <c r="X27" s="5"/>
      <c r="Y27" s="5"/>
      <c r="Z27" s="5"/>
      <c r="AA27" s="5"/>
      <c r="AB27" s="5"/>
      <c r="AC27" s="126">
        <f t="shared" si="0"/>
        <v>0</v>
      </c>
      <c r="AD27" s="5"/>
    </row>
    <row r="28" spans="1:30" s="69" customFormat="1" ht="66" customHeight="1" x14ac:dyDescent="0.35">
      <c r="A28" s="13" t="s">
        <v>49</v>
      </c>
      <c r="B28" s="123" t="s">
        <v>579</v>
      </c>
      <c r="C28" s="24" t="s">
        <v>621</v>
      </c>
      <c r="D28" s="23">
        <v>45938</v>
      </c>
      <c r="E28" s="5"/>
      <c r="F28" s="189" t="s">
        <v>1295</v>
      </c>
      <c r="G28" s="8"/>
      <c r="H28" s="5"/>
      <c r="I28" s="11"/>
      <c r="J28" s="5"/>
      <c r="K28" s="5"/>
      <c r="L28" s="61">
        <f>16000+200+100+15</f>
        <v>16315</v>
      </c>
      <c r="M28" s="61"/>
      <c r="N28" s="58"/>
      <c r="O28" s="7">
        <v>2000</v>
      </c>
      <c r="P28" s="8" t="s">
        <v>19</v>
      </c>
      <c r="Q28" s="58"/>
      <c r="R28" s="7">
        <v>3000</v>
      </c>
      <c r="S28" s="8" t="s">
        <v>19</v>
      </c>
      <c r="T28" s="5"/>
      <c r="U28" s="7">
        <v>3000</v>
      </c>
      <c r="V28" s="8" t="s">
        <v>19</v>
      </c>
      <c r="W28" s="59">
        <v>46162</v>
      </c>
      <c r="X28" s="5">
        <v>8300</v>
      </c>
      <c r="Y28" s="5" t="s">
        <v>19</v>
      </c>
      <c r="Z28" s="5"/>
      <c r="AA28" s="5"/>
      <c r="AB28" s="5"/>
      <c r="AC28" s="124">
        <f>+(L28+M28)-O28-R28-U28-X28-AA28</f>
        <v>15</v>
      </c>
      <c r="AD28" s="5"/>
    </row>
    <row r="29" spans="1:30" s="69" customFormat="1" ht="66" customHeight="1" x14ac:dyDescent="0.35">
      <c r="A29" s="13" t="s">
        <v>317</v>
      </c>
      <c r="B29" s="66" t="s">
        <v>580</v>
      </c>
      <c r="C29" s="24" t="s">
        <v>622</v>
      </c>
      <c r="D29" s="23"/>
      <c r="E29" s="5"/>
      <c r="F29" s="5"/>
      <c r="G29" s="8"/>
      <c r="H29" s="5"/>
      <c r="I29" s="11"/>
      <c r="J29" s="5"/>
      <c r="K29" s="5"/>
      <c r="L29" s="61"/>
      <c r="M29" s="61"/>
      <c r="N29" s="58"/>
      <c r="O29" s="7"/>
      <c r="P29" s="8"/>
      <c r="Q29" s="58"/>
      <c r="R29" s="7"/>
      <c r="S29" s="8"/>
      <c r="T29" s="5"/>
      <c r="U29" s="5"/>
      <c r="V29" s="5"/>
      <c r="W29" s="5"/>
      <c r="X29" s="5"/>
      <c r="Y29" s="5"/>
      <c r="Z29" s="5"/>
      <c r="AA29" s="5"/>
      <c r="AB29" s="5"/>
      <c r="AC29" s="126">
        <f t="shared" si="0"/>
        <v>0</v>
      </c>
      <c r="AD29" s="5"/>
    </row>
    <row r="30" spans="1:30" s="69" customFormat="1" ht="66" customHeight="1" x14ac:dyDescent="0.35">
      <c r="A30" s="13" t="s">
        <v>318</v>
      </c>
      <c r="B30" s="66" t="s">
        <v>581</v>
      </c>
      <c r="C30" s="24" t="s">
        <v>623</v>
      </c>
      <c r="D30" s="23"/>
      <c r="E30" s="5"/>
      <c r="F30" s="5"/>
      <c r="G30" s="8"/>
      <c r="H30" s="5"/>
      <c r="I30" s="11"/>
      <c r="J30" s="5"/>
      <c r="K30" s="5"/>
      <c r="L30" s="61"/>
      <c r="M30" s="61"/>
      <c r="N30" s="58"/>
      <c r="O30" s="7"/>
      <c r="P30" s="8"/>
      <c r="Q30" s="58"/>
      <c r="R30" s="7"/>
      <c r="S30" s="8"/>
      <c r="T30" s="5"/>
      <c r="U30" s="5"/>
      <c r="V30" s="5"/>
      <c r="W30" s="5"/>
      <c r="X30" s="5"/>
      <c r="Y30" s="5"/>
      <c r="Z30" s="5"/>
      <c r="AA30" s="5"/>
      <c r="AB30" s="5"/>
      <c r="AC30" s="126">
        <f t="shared" si="0"/>
        <v>0</v>
      </c>
      <c r="AD30" s="5"/>
    </row>
    <row r="31" spans="1:30" s="69" customFormat="1" ht="66" customHeight="1" x14ac:dyDescent="0.35">
      <c r="A31" s="13" t="s">
        <v>319</v>
      </c>
      <c r="B31" s="66" t="s">
        <v>582</v>
      </c>
      <c r="C31" s="24" t="s">
        <v>624</v>
      </c>
      <c r="D31" s="23"/>
      <c r="E31" s="5"/>
      <c r="F31" s="5"/>
      <c r="G31" s="8"/>
      <c r="H31" s="5"/>
      <c r="I31" s="11"/>
      <c r="J31" s="5"/>
      <c r="K31" s="5"/>
      <c r="L31" s="61"/>
      <c r="M31" s="61"/>
      <c r="N31" s="58"/>
      <c r="O31" s="7"/>
      <c r="P31" s="8"/>
      <c r="Q31" s="58"/>
      <c r="R31" s="7"/>
      <c r="S31" s="8"/>
      <c r="T31" s="5"/>
      <c r="U31" s="5"/>
      <c r="V31" s="5"/>
      <c r="W31" s="5"/>
      <c r="X31" s="5"/>
      <c r="Y31" s="5"/>
      <c r="Z31" s="5"/>
      <c r="AA31" s="5"/>
      <c r="AB31" s="5"/>
      <c r="AC31" s="126">
        <f t="shared" si="0"/>
        <v>0</v>
      </c>
      <c r="AD31" s="5"/>
    </row>
    <row r="32" spans="1:30" s="69" customFormat="1" ht="66" customHeight="1" x14ac:dyDescent="0.35">
      <c r="A32" s="13" t="s">
        <v>21</v>
      </c>
      <c r="B32" s="66" t="s">
        <v>583</v>
      </c>
      <c r="C32" s="24" t="s">
        <v>625</v>
      </c>
      <c r="D32" s="23">
        <v>45834</v>
      </c>
      <c r="E32" s="5"/>
      <c r="F32" s="60" t="s">
        <v>1028</v>
      </c>
      <c r="G32" s="8">
        <v>125</v>
      </c>
      <c r="H32" s="5"/>
      <c r="I32" s="11" t="s">
        <v>1078</v>
      </c>
      <c r="J32" s="5"/>
      <c r="K32" s="5"/>
      <c r="L32" s="61">
        <v>10215</v>
      </c>
      <c r="M32" s="61"/>
      <c r="N32" s="58">
        <v>45792</v>
      </c>
      <c r="O32" s="7">
        <v>1000</v>
      </c>
      <c r="P32" s="8" t="s">
        <v>19</v>
      </c>
      <c r="Q32" s="58">
        <v>45694</v>
      </c>
      <c r="R32" s="7">
        <v>3000</v>
      </c>
      <c r="S32" s="8" t="s">
        <v>19</v>
      </c>
      <c r="T32" s="5"/>
      <c r="U32" s="5"/>
      <c r="V32" s="5"/>
      <c r="W32" s="5"/>
      <c r="X32" s="5"/>
      <c r="Y32" s="5"/>
      <c r="Z32" s="5"/>
      <c r="AA32" s="5"/>
      <c r="AB32" s="5"/>
      <c r="AC32" s="124">
        <f t="shared" si="0"/>
        <v>6215</v>
      </c>
      <c r="AD32" s="5"/>
    </row>
    <row r="33" spans="1:30" s="69" customFormat="1" ht="66" customHeight="1" x14ac:dyDescent="0.35">
      <c r="A33" s="13" t="s">
        <v>320</v>
      </c>
      <c r="B33" s="66" t="s">
        <v>584</v>
      </c>
      <c r="C33" s="24" t="s">
        <v>626</v>
      </c>
      <c r="D33" s="23"/>
      <c r="E33" s="5"/>
      <c r="F33" s="5"/>
      <c r="G33" s="8"/>
      <c r="H33" s="5"/>
      <c r="I33" s="11"/>
      <c r="J33" s="5"/>
      <c r="K33" s="5"/>
      <c r="L33" s="61"/>
      <c r="M33" s="61"/>
      <c r="N33" s="58"/>
      <c r="O33" s="7"/>
      <c r="P33" s="58"/>
      <c r="Q33" s="58"/>
      <c r="R33" s="7"/>
      <c r="S33" s="8"/>
      <c r="T33" s="5"/>
      <c r="U33" s="5"/>
      <c r="V33" s="5"/>
      <c r="W33" s="5"/>
      <c r="X33" s="5"/>
      <c r="Y33" s="5"/>
      <c r="Z33" s="5"/>
      <c r="AA33" s="5"/>
      <c r="AB33" s="5"/>
      <c r="AC33" s="126">
        <f t="shared" si="0"/>
        <v>0</v>
      </c>
      <c r="AD33" s="5"/>
    </row>
    <row r="34" spans="1:30" s="69" customFormat="1" ht="66" customHeight="1" x14ac:dyDescent="0.35">
      <c r="A34" s="13" t="s">
        <v>321</v>
      </c>
      <c r="B34" s="66" t="s">
        <v>585</v>
      </c>
      <c r="C34" s="24" t="s">
        <v>627</v>
      </c>
      <c r="D34" s="23">
        <v>45972</v>
      </c>
      <c r="E34" s="5"/>
      <c r="F34" s="60" t="s">
        <v>17</v>
      </c>
      <c r="G34" s="8">
        <v>114</v>
      </c>
      <c r="H34" s="5"/>
      <c r="I34" s="11" t="s">
        <v>1079</v>
      </c>
      <c r="J34" s="5"/>
      <c r="K34" s="5"/>
      <c r="L34" s="61"/>
      <c r="M34" s="61"/>
      <c r="N34" s="58"/>
      <c r="O34" s="7"/>
      <c r="P34" s="58"/>
      <c r="Q34" s="58"/>
      <c r="R34" s="7"/>
      <c r="S34" s="8"/>
      <c r="T34" s="5"/>
      <c r="U34" s="5"/>
      <c r="V34" s="5"/>
      <c r="W34" s="5"/>
      <c r="X34" s="5"/>
      <c r="Y34" s="5"/>
      <c r="Z34" s="5"/>
      <c r="AA34" s="5"/>
      <c r="AB34" s="5"/>
      <c r="AC34" s="126">
        <f t="shared" si="0"/>
        <v>0</v>
      </c>
      <c r="AD34" s="5"/>
    </row>
    <row r="35" spans="1:30" s="69" customFormat="1" ht="66" customHeight="1" x14ac:dyDescent="0.35">
      <c r="A35" s="139" t="s">
        <v>322</v>
      </c>
      <c r="B35" s="140" t="s">
        <v>586</v>
      </c>
      <c r="C35" s="141" t="s">
        <v>628</v>
      </c>
      <c r="D35" s="142">
        <v>45995</v>
      </c>
      <c r="E35" s="145"/>
      <c r="F35" s="145"/>
      <c r="G35" s="144"/>
      <c r="H35" s="145"/>
      <c r="I35" s="146"/>
      <c r="J35" s="145"/>
      <c r="K35" s="151"/>
      <c r="L35" s="125">
        <v>9500</v>
      </c>
      <c r="M35" s="125"/>
      <c r="N35" s="147">
        <v>45758</v>
      </c>
      <c r="O35" s="82">
        <v>5000</v>
      </c>
      <c r="P35" s="147" t="s">
        <v>19</v>
      </c>
      <c r="Q35" s="147">
        <v>46009</v>
      </c>
      <c r="R35" s="82">
        <v>4500</v>
      </c>
      <c r="S35" s="144" t="s">
        <v>19</v>
      </c>
      <c r="T35" s="145"/>
      <c r="U35" s="145"/>
      <c r="V35" s="145"/>
      <c r="W35" s="145"/>
      <c r="X35" s="145"/>
      <c r="Y35" s="145"/>
      <c r="Z35" s="145"/>
      <c r="AA35" s="145"/>
      <c r="AB35" s="145"/>
      <c r="AC35" s="125">
        <f t="shared" si="0"/>
        <v>0</v>
      </c>
      <c r="AD35" s="5"/>
    </row>
    <row r="36" spans="1:30" s="69" customFormat="1" ht="66" customHeight="1" x14ac:dyDescent="0.35">
      <c r="A36" s="13" t="s">
        <v>323</v>
      </c>
      <c r="B36" s="66" t="s">
        <v>587</v>
      </c>
      <c r="C36" s="24" t="s">
        <v>629</v>
      </c>
      <c r="D36" s="23"/>
      <c r="E36" s="5"/>
      <c r="F36" s="5"/>
      <c r="G36" s="8"/>
      <c r="H36" s="5"/>
      <c r="I36" s="11"/>
      <c r="J36" s="5"/>
      <c r="K36" s="5"/>
      <c r="L36" s="61"/>
      <c r="M36" s="61"/>
      <c r="N36" s="58"/>
      <c r="O36" s="7"/>
      <c r="P36" s="58"/>
      <c r="Q36" s="58"/>
      <c r="R36" s="7"/>
      <c r="S36" s="8"/>
      <c r="T36" s="5"/>
      <c r="U36" s="5"/>
      <c r="V36" s="5"/>
      <c r="W36" s="5"/>
      <c r="X36" s="5"/>
      <c r="Y36" s="5"/>
      <c r="Z36" s="5"/>
      <c r="AA36" s="5"/>
      <c r="AB36" s="5"/>
      <c r="AC36" s="126">
        <f t="shared" si="0"/>
        <v>0</v>
      </c>
      <c r="AD36" s="5"/>
    </row>
    <row r="37" spans="1:30" s="69" customFormat="1" ht="66" customHeight="1" x14ac:dyDescent="0.35">
      <c r="A37" s="13" t="s">
        <v>324</v>
      </c>
      <c r="B37" s="66" t="s">
        <v>588</v>
      </c>
      <c r="C37" s="24" t="s">
        <v>630</v>
      </c>
      <c r="D37" s="23"/>
      <c r="E37" s="5"/>
      <c r="F37" s="5"/>
      <c r="G37" s="8"/>
      <c r="H37" s="5"/>
      <c r="I37" s="11"/>
      <c r="J37" s="5"/>
      <c r="K37" s="5"/>
      <c r="L37" s="61"/>
      <c r="M37" s="61"/>
      <c r="N37" s="58"/>
      <c r="O37" s="7"/>
      <c r="P37" s="58"/>
      <c r="Q37" s="58"/>
      <c r="R37" s="7"/>
      <c r="S37" s="8"/>
      <c r="T37" s="5"/>
      <c r="U37" s="5"/>
      <c r="V37" s="5"/>
      <c r="W37" s="5"/>
      <c r="X37" s="5"/>
      <c r="Y37" s="5"/>
      <c r="Z37" s="5"/>
      <c r="AA37" s="5"/>
      <c r="AB37" s="5"/>
      <c r="AC37" s="126">
        <f t="shared" si="0"/>
        <v>0</v>
      </c>
      <c r="AD37" s="5"/>
    </row>
    <row r="38" spans="1:30" s="69" customFormat="1" ht="66" customHeight="1" x14ac:dyDescent="0.35">
      <c r="A38" s="13" t="s">
        <v>325</v>
      </c>
      <c r="B38" s="66" t="s">
        <v>589</v>
      </c>
      <c r="C38" s="24" t="s">
        <v>631</v>
      </c>
      <c r="D38" s="23">
        <v>45981</v>
      </c>
      <c r="E38" s="5"/>
      <c r="F38" s="5"/>
      <c r="G38" s="8"/>
      <c r="H38" s="5"/>
      <c r="I38" s="11"/>
      <c r="J38" s="5"/>
      <c r="K38" s="5"/>
      <c r="L38" s="61"/>
      <c r="M38" s="61"/>
      <c r="N38" s="58"/>
      <c r="O38" s="7"/>
      <c r="P38" s="58"/>
      <c r="Q38" s="58"/>
      <c r="R38" s="7"/>
      <c r="S38" s="8"/>
      <c r="T38" s="5"/>
      <c r="U38" s="5"/>
      <c r="V38" s="5"/>
      <c r="W38" s="5"/>
      <c r="X38" s="5"/>
      <c r="Y38" s="5"/>
      <c r="Z38" s="5"/>
      <c r="AA38" s="5"/>
      <c r="AB38" s="5"/>
      <c r="AC38" s="126">
        <f t="shared" si="0"/>
        <v>0</v>
      </c>
      <c r="AD38" s="5"/>
    </row>
    <row r="39" spans="1:30" s="69" customFormat="1" ht="66" customHeight="1" x14ac:dyDescent="0.35">
      <c r="A39" s="13" t="s">
        <v>326</v>
      </c>
      <c r="B39" s="66" t="s">
        <v>590</v>
      </c>
      <c r="C39" s="24" t="s">
        <v>632</v>
      </c>
      <c r="D39" s="23"/>
      <c r="E39" s="5"/>
      <c r="F39" s="5"/>
      <c r="G39" s="8"/>
      <c r="H39" s="5"/>
      <c r="I39" s="11"/>
      <c r="J39" s="5"/>
      <c r="K39" s="5"/>
      <c r="L39" s="61"/>
      <c r="M39" s="61"/>
      <c r="N39" s="58"/>
      <c r="O39" s="7"/>
      <c r="P39" s="58"/>
      <c r="Q39" s="58"/>
      <c r="R39" s="7"/>
      <c r="S39" s="8"/>
      <c r="T39" s="5"/>
      <c r="U39" s="5"/>
      <c r="V39" s="5"/>
      <c r="W39" s="5"/>
      <c r="X39" s="5"/>
      <c r="Y39" s="5"/>
      <c r="Z39" s="5"/>
      <c r="AA39" s="5"/>
      <c r="AB39" s="5"/>
      <c r="AC39" s="126">
        <f t="shared" si="0"/>
        <v>0</v>
      </c>
      <c r="AD39" s="5"/>
    </row>
    <row r="40" spans="1:30" s="69" customFormat="1" ht="66" customHeight="1" x14ac:dyDescent="0.35">
      <c r="A40" s="139" t="s">
        <v>327</v>
      </c>
      <c r="B40" s="140" t="s">
        <v>1080</v>
      </c>
      <c r="C40" s="141" t="s">
        <v>633</v>
      </c>
      <c r="D40" s="142">
        <v>46014</v>
      </c>
      <c r="E40" s="145"/>
      <c r="F40" s="146" t="s">
        <v>17</v>
      </c>
      <c r="G40" s="144">
        <v>122</v>
      </c>
      <c r="H40" s="145"/>
      <c r="I40" s="146" t="s">
        <v>1081</v>
      </c>
      <c r="J40" s="145"/>
      <c r="K40" s="145"/>
      <c r="L40" s="125">
        <v>8500</v>
      </c>
      <c r="M40" s="125"/>
      <c r="N40" s="147">
        <v>45700</v>
      </c>
      <c r="O40" s="82">
        <v>5000</v>
      </c>
      <c r="P40" s="144" t="s">
        <v>19</v>
      </c>
      <c r="Q40" s="147">
        <v>46092</v>
      </c>
      <c r="R40" s="82">
        <v>3500</v>
      </c>
      <c r="S40" s="144" t="s">
        <v>19</v>
      </c>
      <c r="T40" s="145"/>
      <c r="U40" s="145"/>
      <c r="V40" s="145"/>
      <c r="W40" s="145"/>
      <c r="X40" s="145"/>
      <c r="Y40" s="145"/>
      <c r="Z40" s="145"/>
      <c r="AA40" s="145"/>
      <c r="AB40" s="145"/>
      <c r="AC40" s="125">
        <f t="shared" si="0"/>
        <v>0</v>
      </c>
      <c r="AD40" s="5"/>
    </row>
    <row r="41" spans="1:30" s="69" customFormat="1" ht="66" customHeight="1" x14ac:dyDescent="0.35">
      <c r="A41" s="13" t="s">
        <v>328</v>
      </c>
      <c r="B41" s="66" t="s">
        <v>591</v>
      </c>
      <c r="C41" s="24" t="s">
        <v>634</v>
      </c>
      <c r="D41" s="23">
        <v>46014</v>
      </c>
      <c r="E41" s="5"/>
      <c r="F41" s="72" t="s">
        <v>1033</v>
      </c>
      <c r="G41" s="8">
        <v>94</v>
      </c>
      <c r="H41" s="5"/>
      <c r="I41" s="11" t="s">
        <v>1082</v>
      </c>
      <c r="J41" s="5"/>
      <c r="K41" s="5"/>
      <c r="L41" s="61">
        <v>9300</v>
      </c>
      <c r="M41" s="61"/>
      <c r="N41" s="58">
        <v>45700</v>
      </c>
      <c r="O41" s="7">
        <v>3000</v>
      </c>
      <c r="P41" s="8" t="s">
        <v>19</v>
      </c>
      <c r="Q41" s="58">
        <v>46086</v>
      </c>
      <c r="R41" s="7">
        <v>5000</v>
      </c>
      <c r="S41" s="8" t="s">
        <v>19</v>
      </c>
      <c r="T41" s="5"/>
      <c r="U41" s="5"/>
      <c r="V41" s="5"/>
      <c r="W41" s="5"/>
      <c r="X41" s="5"/>
      <c r="Y41" s="5"/>
      <c r="Z41" s="5"/>
      <c r="AA41" s="5"/>
      <c r="AB41" s="5"/>
      <c r="AC41" s="124">
        <f t="shared" si="0"/>
        <v>1300</v>
      </c>
      <c r="AD41" s="5"/>
    </row>
    <row r="42" spans="1:30" s="69" customFormat="1" ht="66" customHeight="1" x14ac:dyDescent="0.35">
      <c r="A42" s="13" t="s">
        <v>329</v>
      </c>
      <c r="B42" s="66" t="s">
        <v>592</v>
      </c>
      <c r="C42" s="24" t="s">
        <v>635</v>
      </c>
      <c r="D42" s="23"/>
      <c r="E42" s="5"/>
      <c r="F42" s="5"/>
      <c r="G42" s="8"/>
      <c r="H42" s="5"/>
      <c r="I42" s="11"/>
      <c r="J42" s="5"/>
      <c r="K42" s="5"/>
      <c r="L42" s="61"/>
      <c r="M42" s="61"/>
      <c r="N42" s="58"/>
      <c r="O42" s="7"/>
      <c r="P42" s="8"/>
      <c r="Q42" s="58"/>
      <c r="R42" s="7"/>
      <c r="S42" s="8"/>
      <c r="T42" s="5"/>
      <c r="U42" s="5"/>
      <c r="V42" s="5"/>
      <c r="W42" s="5"/>
      <c r="X42" s="5"/>
      <c r="Y42" s="5"/>
      <c r="Z42" s="5"/>
      <c r="AA42" s="5"/>
      <c r="AB42" s="5"/>
      <c r="AC42" s="126">
        <f t="shared" si="0"/>
        <v>0</v>
      </c>
      <c r="AD42" s="5"/>
    </row>
    <row r="43" spans="1:30" s="69" customFormat="1" ht="66" customHeight="1" x14ac:dyDescent="0.35">
      <c r="A43" s="13" t="s">
        <v>330</v>
      </c>
      <c r="B43" s="66" t="s">
        <v>593</v>
      </c>
      <c r="C43" s="24">
        <v>3612</v>
      </c>
      <c r="D43" s="23">
        <v>46191</v>
      </c>
      <c r="E43" s="5"/>
      <c r="F43" s="5"/>
      <c r="G43" s="8"/>
      <c r="H43" s="5"/>
      <c r="I43" s="11">
        <f>16000+(16000*0.2)</f>
        <v>19200</v>
      </c>
      <c r="J43" s="5"/>
      <c r="K43" s="5"/>
      <c r="L43" s="61"/>
      <c r="M43" s="61"/>
      <c r="N43" s="58"/>
      <c r="O43" s="7"/>
      <c r="P43" s="8"/>
      <c r="Q43" s="58"/>
      <c r="R43" s="7"/>
      <c r="S43" s="8"/>
      <c r="T43" s="5"/>
      <c r="U43" s="5"/>
      <c r="V43" s="5"/>
      <c r="W43" s="5"/>
      <c r="X43" s="5"/>
      <c r="Y43" s="5"/>
      <c r="Z43" s="5"/>
      <c r="AA43" s="5"/>
      <c r="AB43" s="5"/>
      <c r="AC43" s="126">
        <f t="shared" si="0"/>
        <v>0</v>
      </c>
      <c r="AD43" s="5"/>
    </row>
    <row r="44" spans="1:30" s="69" customFormat="1" ht="66" customHeight="1" x14ac:dyDescent="0.35">
      <c r="A44" s="13" t="s">
        <v>331</v>
      </c>
      <c r="B44" s="66" t="s">
        <v>594</v>
      </c>
      <c r="C44" s="24" t="s">
        <v>637</v>
      </c>
      <c r="D44" s="23"/>
      <c r="E44" s="5"/>
      <c r="F44" s="5"/>
      <c r="G44" s="8"/>
      <c r="H44" s="5"/>
      <c r="I44" s="11"/>
      <c r="J44" s="5"/>
      <c r="K44" s="5"/>
      <c r="L44" s="61"/>
      <c r="M44" s="61"/>
      <c r="N44" s="58"/>
      <c r="O44" s="7"/>
      <c r="P44" s="8"/>
      <c r="Q44" s="58"/>
      <c r="R44" s="7"/>
      <c r="S44" s="8"/>
      <c r="T44" s="5"/>
      <c r="U44" s="5"/>
      <c r="V44" s="5"/>
      <c r="W44" s="5"/>
      <c r="X44" s="5"/>
      <c r="Y44" s="5"/>
      <c r="Z44" s="5"/>
      <c r="AA44" s="5"/>
      <c r="AB44" s="5"/>
      <c r="AC44" s="126">
        <f t="shared" si="0"/>
        <v>0</v>
      </c>
      <c r="AD44" s="5"/>
    </row>
    <row r="45" spans="1:30" s="69" customFormat="1" ht="66" customHeight="1" x14ac:dyDescent="0.35">
      <c r="A45" s="13" t="s">
        <v>332</v>
      </c>
      <c r="B45" s="66" t="s">
        <v>595</v>
      </c>
      <c r="C45" s="24" t="s">
        <v>638</v>
      </c>
      <c r="D45" s="23"/>
      <c r="E45" s="5"/>
      <c r="F45" s="5"/>
      <c r="G45" s="8"/>
      <c r="H45" s="5"/>
      <c r="I45" s="11"/>
      <c r="J45" s="5"/>
      <c r="K45" s="5"/>
      <c r="L45" s="61"/>
      <c r="M45" s="61"/>
      <c r="N45" s="58"/>
      <c r="O45" s="7"/>
      <c r="P45" s="8"/>
      <c r="Q45" s="58"/>
      <c r="R45" s="7"/>
      <c r="S45" s="8"/>
      <c r="T45" s="5"/>
      <c r="U45" s="5"/>
      <c r="V45" s="5"/>
      <c r="W45" s="5"/>
      <c r="X45" s="5"/>
      <c r="Y45" s="5"/>
      <c r="Z45" s="5"/>
      <c r="AA45" s="5"/>
      <c r="AB45" s="5"/>
      <c r="AC45" s="126">
        <f t="shared" si="0"/>
        <v>0</v>
      </c>
      <c r="AD45" s="5"/>
    </row>
    <row r="46" spans="1:30" s="69" customFormat="1" ht="66" customHeight="1" x14ac:dyDescent="0.35">
      <c r="A46" s="13" t="s">
        <v>333</v>
      </c>
      <c r="B46" s="66" t="s">
        <v>596</v>
      </c>
      <c r="C46" s="24" t="s">
        <v>639</v>
      </c>
      <c r="D46" s="23"/>
      <c r="E46" s="5"/>
      <c r="F46" s="5"/>
      <c r="G46" s="8"/>
      <c r="H46" s="5"/>
      <c r="I46" s="11"/>
      <c r="J46" s="5"/>
      <c r="K46" s="5"/>
      <c r="L46" s="61"/>
      <c r="M46" s="61"/>
      <c r="N46" s="58"/>
      <c r="O46" s="7"/>
      <c r="P46" s="8"/>
      <c r="Q46" s="58"/>
      <c r="R46" s="7"/>
      <c r="S46" s="8"/>
      <c r="T46" s="5"/>
      <c r="U46" s="5"/>
      <c r="V46" s="5"/>
      <c r="W46" s="5"/>
      <c r="X46" s="5"/>
      <c r="Y46" s="5"/>
      <c r="Z46" s="5"/>
      <c r="AA46" s="5"/>
      <c r="AB46" s="5"/>
      <c r="AC46" s="126">
        <f t="shared" si="0"/>
        <v>0</v>
      </c>
      <c r="AD46" s="5"/>
    </row>
    <row r="47" spans="1:30" s="69" customFormat="1" ht="66" customHeight="1" thickBot="1" x14ac:dyDescent="0.4">
      <c r="A47" s="114" t="s">
        <v>334</v>
      </c>
      <c r="B47" s="170" t="s">
        <v>597</v>
      </c>
      <c r="C47" s="115" t="s">
        <v>640</v>
      </c>
      <c r="D47" s="116">
        <v>46014</v>
      </c>
      <c r="E47" s="117"/>
      <c r="F47" s="118" t="s">
        <v>1038</v>
      </c>
      <c r="G47" s="117">
        <v>242</v>
      </c>
      <c r="H47" s="117"/>
      <c r="I47" s="117" t="s">
        <v>1070</v>
      </c>
      <c r="J47" s="117"/>
      <c r="K47" s="117"/>
      <c r="L47" s="119">
        <v>12615</v>
      </c>
      <c r="M47" s="119"/>
      <c r="N47" s="120">
        <v>45983</v>
      </c>
      <c r="O47" s="121">
        <v>6000</v>
      </c>
      <c r="P47" s="122" t="s">
        <v>19</v>
      </c>
      <c r="Q47" s="120"/>
      <c r="R47" s="121"/>
      <c r="S47" s="122"/>
      <c r="T47" s="117"/>
      <c r="U47" s="117"/>
      <c r="V47" s="117"/>
      <c r="W47" s="117"/>
      <c r="X47" s="117"/>
      <c r="Y47" s="117"/>
      <c r="Z47" s="117"/>
      <c r="AA47" s="117"/>
      <c r="AB47" s="117"/>
      <c r="AC47" s="124">
        <f t="shared" si="0"/>
        <v>6615</v>
      </c>
      <c r="AD47" s="117"/>
    </row>
    <row r="48" spans="1:30" s="69" customFormat="1" ht="66" customHeight="1" thickTop="1" x14ac:dyDescent="0.35">
      <c r="A48" s="106" t="s">
        <v>335</v>
      </c>
      <c r="B48" s="107" t="s">
        <v>598</v>
      </c>
      <c r="C48" s="108" t="s">
        <v>641</v>
      </c>
      <c r="D48" s="109">
        <v>46024</v>
      </c>
      <c r="E48" s="68"/>
      <c r="F48" s="171" t="s">
        <v>1256</v>
      </c>
      <c r="G48" s="8">
        <v>94</v>
      </c>
      <c r="H48" s="68"/>
      <c r="I48" s="11" t="s">
        <v>1118</v>
      </c>
      <c r="J48" s="68"/>
      <c r="K48" s="68"/>
      <c r="L48" s="110">
        <v>8700</v>
      </c>
      <c r="M48" s="110">
        <v>3400</v>
      </c>
      <c r="N48" s="111">
        <v>46119</v>
      </c>
      <c r="O48" s="112">
        <v>4000</v>
      </c>
      <c r="P48" s="113" t="s">
        <v>1029</v>
      </c>
      <c r="Q48" s="111">
        <v>46066</v>
      </c>
      <c r="R48" s="112">
        <v>4000</v>
      </c>
      <c r="S48" s="113" t="s">
        <v>1255</v>
      </c>
      <c r="T48" s="172">
        <v>45999</v>
      </c>
      <c r="U48" s="68">
        <v>1000</v>
      </c>
      <c r="V48" s="68" t="s">
        <v>1255</v>
      </c>
      <c r="W48" s="68"/>
      <c r="X48" s="68"/>
      <c r="Y48" s="68"/>
      <c r="Z48" s="68"/>
      <c r="AA48" s="68"/>
      <c r="AB48" s="68"/>
      <c r="AC48" s="124">
        <f t="shared" si="0"/>
        <v>3100</v>
      </c>
      <c r="AD48" s="68"/>
    </row>
    <row r="49" spans="1:30" s="69" customFormat="1" ht="66" customHeight="1" x14ac:dyDescent="0.35">
      <c r="A49" s="13" t="s">
        <v>336</v>
      </c>
      <c r="B49" s="181" t="s">
        <v>1263</v>
      </c>
      <c r="C49" s="24" t="s">
        <v>642</v>
      </c>
      <c r="D49" s="23"/>
      <c r="E49" s="5"/>
      <c r="F49" s="5"/>
      <c r="G49" s="8"/>
      <c r="H49" s="5"/>
      <c r="I49" s="11"/>
      <c r="J49" s="5"/>
      <c r="K49" s="5"/>
      <c r="L49" s="61"/>
      <c r="M49" s="61"/>
      <c r="N49" s="58"/>
      <c r="O49" s="7"/>
      <c r="P49" s="8"/>
      <c r="Q49" s="58"/>
      <c r="R49" s="7"/>
      <c r="S49" s="8"/>
      <c r="T49" s="5"/>
      <c r="U49" s="5"/>
      <c r="V49" s="5"/>
      <c r="W49" s="5"/>
      <c r="X49" s="5"/>
      <c r="Y49" s="5"/>
      <c r="Z49" s="5"/>
      <c r="AA49" s="5"/>
      <c r="AB49" s="5"/>
      <c r="AC49" s="126">
        <f t="shared" si="0"/>
        <v>0</v>
      </c>
      <c r="AD49" s="5"/>
    </row>
    <row r="50" spans="1:30" s="69" customFormat="1" ht="66" customHeight="1" x14ac:dyDescent="0.35">
      <c r="A50" s="13" t="s">
        <v>337</v>
      </c>
      <c r="B50" s="66" t="s">
        <v>599</v>
      </c>
      <c r="C50" s="24" t="s">
        <v>643</v>
      </c>
      <c r="D50" s="23">
        <v>46037</v>
      </c>
      <c r="E50" s="5"/>
      <c r="F50" s="189" t="s">
        <v>1383</v>
      </c>
      <c r="G50" s="8"/>
      <c r="H50" s="5"/>
      <c r="I50" s="11"/>
      <c r="J50" s="5"/>
      <c r="K50" s="5"/>
      <c r="L50" s="61">
        <v>6150</v>
      </c>
      <c r="M50" s="61"/>
      <c r="N50" s="58">
        <v>46038</v>
      </c>
      <c r="O50" s="7">
        <v>3000</v>
      </c>
      <c r="P50" s="8" t="s">
        <v>1255</v>
      </c>
      <c r="Q50" s="58">
        <v>46112</v>
      </c>
      <c r="R50" s="7">
        <v>3000</v>
      </c>
      <c r="S50" s="8" t="s">
        <v>1255</v>
      </c>
      <c r="T50" s="5"/>
      <c r="U50" s="5"/>
      <c r="V50" s="5"/>
      <c r="W50" s="5"/>
      <c r="X50" s="5"/>
      <c r="Y50" s="5"/>
      <c r="Z50" s="5"/>
      <c r="AA50" s="5"/>
      <c r="AB50" s="5"/>
      <c r="AC50" s="124">
        <f t="shared" si="0"/>
        <v>150</v>
      </c>
      <c r="AD50" s="5"/>
    </row>
    <row r="51" spans="1:30" s="69" customFormat="1" ht="66" customHeight="1" x14ac:dyDescent="0.35">
      <c r="A51" s="13" t="s">
        <v>338</v>
      </c>
      <c r="B51" s="66" t="s">
        <v>600</v>
      </c>
      <c r="C51" s="24" t="s">
        <v>644</v>
      </c>
      <c r="D51" s="23">
        <v>46049</v>
      </c>
      <c r="E51" s="23">
        <v>46133</v>
      </c>
      <c r="F51" s="127" t="s">
        <v>1104</v>
      </c>
      <c r="G51" s="128">
        <v>110</v>
      </c>
      <c r="H51" s="5"/>
      <c r="I51" s="11" t="s">
        <v>1069</v>
      </c>
      <c r="J51" s="5"/>
      <c r="K51" s="58">
        <v>46113</v>
      </c>
      <c r="L51" s="61">
        <v>9000</v>
      </c>
      <c r="M51" s="61"/>
      <c r="N51" s="58"/>
      <c r="O51" s="7"/>
      <c r="P51" s="8"/>
      <c r="Q51" s="58"/>
      <c r="R51" s="7"/>
      <c r="S51" s="8"/>
      <c r="T51" s="5"/>
      <c r="U51" s="5"/>
      <c r="V51" s="5"/>
      <c r="W51" s="5"/>
      <c r="X51" s="5"/>
      <c r="Y51" s="5"/>
      <c r="Z51" s="5"/>
      <c r="AA51" s="5"/>
      <c r="AB51" s="5"/>
      <c r="AC51" s="124">
        <f t="shared" si="0"/>
        <v>9000</v>
      </c>
      <c r="AD51" s="8" t="s">
        <v>1103</v>
      </c>
    </row>
    <row r="52" spans="1:30" s="69" customFormat="1" ht="66" customHeight="1" x14ac:dyDescent="0.35">
      <c r="A52" s="13" t="s">
        <v>339</v>
      </c>
      <c r="B52" s="66" t="s">
        <v>601</v>
      </c>
      <c r="C52" s="24" t="s">
        <v>645</v>
      </c>
      <c r="D52" s="23">
        <v>46122</v>
      </c>
      <c r="E52" s="5"/>
      <c r="F52" s="5"/>
      <c r="G52" s="8"/>
      <c r="H52" s="5"/>
      <c r="I52" s="11"/>
      <c r="J52" s="5"/>
      <c r="K52" s="5"/>
      <c r="L52" s="61"/>
      <c r="M52" s="61"/>
      <c r="N52" s="58"/>
      <c r="O52" s="7"/>
      <c r="P52" s="8"/>
      <c r="Q52" s="58"/>
      <c r="R52" s="7"/>
      <c r="S52" s="8"/>
      <c r="T52" s="5"/>
      <c r="U52" s="5"/>
      <c r="V52" s="5"/>
      <c r="W52" s="5"/>
      <c r="X52" s="5"/>
      <c r="Y52" s="5"/>
      <c r="Z52" s="5"/>
      <c r="AA52" s="5"/>
      <c r="AB52" s="5"/>
      <c r="AC52" s="126">
        <f t="shared" si="0"/>
        <v>0</v>
      </c>
      <c r="AD52" s="5"/>
    </row>
    <row r="53" spans="1:30" s="69" customFormat="1" ht="66" customHeight="1" x14ac:dyDescent="0.35">
      <c r="A53" s="13" t="s">
        <v>340</v>
      </c>
      <c r="B53" s="66" t="s">
        <v>1307</v>
      </c>
      <c r="C53" s="24" t="s">
        <v>646</v>
      </c>
      <c r="D53" s="23">
        <v>46037</v>
      </c>
      <c r="E53" s="59">
        <v>46200</v>
      </c>
      <c r="F53" s="5"/>
      <c r="G53" s="8"/>
      <c r="H53" s="5"/>
      <c r="I53" s="11"/>
      <c r="J53" s="5"/>
      <c r="K53" s="5"/>
      <c r="L53" s="61"/>
      <c r="M53" s="61"/>
      <c r="N53" s="58"/>
      <c r="O53" s="7"/>
      <c r="P53" s="8"/>
      <c r="Q53" s="58"/>
      <c r="R53" s="7"/>
      <c r="S53" s="8"/>
      <c r="T53" s="5"/>
      <c r="U53" s="5"/>
      <c r="V53" s="5"/>
      <c r="W53" s="5"/>
      <c r="X53" s="5"/>
      <c r="Y53" s="5"/>
      <c r="Z53" s="5"/>
      <c r="AA53" s="5"/>
      <c r="AB53" s="5"/>
      <c r="AC53" s="126">
        <f t="shared" si="0"/>
        <v>0</v>
      </c>
      <c r="AD53" s="5"/>
    </row>
    <row r="54" spans="1:30" s="69" customFormat="1" ht="66" customHeight="1" x14ac:dyDescent="0.35">
      <c r="A54" s="13" t="s">
        <v>341</v>
      </c>
      <c r="B54" s="66" t="s">
        <v>602</v>
      </c>
      <c r="C54" s="103" t="s">
        <v>1093</v>
      </c>
      <c r="D54" s="23"/>
      <c r="E54" s="5"/>
      <c r="F54" s="72" t="s">
        <v>1034</v>
      </c>
      <c r="G54" s="8">
        <v>80</v>
      </c>
      <c r="H54" s="5"/>
      <c r="I54" s="11" t="s">
        <v>1068</v>
      </c>
      <c r="J54" s="5"/>
      <c r="K54" s="5"/>
      <c r="L54" s="61">
        <v>12215</v>
      </c>
      <c r="M54" s="61"/>
      <c r="N54" s="58">
        <v>46037</v>
      </c>
      <c r="O54" s="7">
        <v>5000</v>
      </c>
      <c r="P54" s="8" t="s">
        <v>19</v>
      </c>
      <c r="Q54" s="58"/>
      <c r="R54" s="7"/>
      <c r="S54" s="8"/>
      <c r="T54" s="5"/>
      <c r="U54" s="5"/>
      <c r="V54" s="5"/>
      <c r="W54" s="5"/>
      <c r="X54" s="5"/>
      <c r="Y54" s="5"/>
      <c r="Z54" s="5"/>
      <c r="AA54" s="5"/>
      <c r="AB54" s="5"/>
      <c r="AC54" s="124">
        <f t="shared" si="0"/>
        <v>7215</v>
      </c>
      <c r="AD54" s="5"/>
    </row>
    <row r="55" spans="1:30" s="69" customFormat="1" ht="66" customHeight="1" x14ac:dyDescent="0.35">
      <c r="A55" s="13" t="s">
        <v>15</v>
      </c>
      <c r="B55" s="66" t="s">
        <v>16</v>
      </c>
      <c r="C55" s="24" t="s">
        <v>647</v>
      </c>
      <c r="D55" s="23">
        <v>46042</v>
      </c>
      <c r="E55" s="5"/>
      <c r="F55" s="60" t="s">
        <v>17</v>
      </c>
      <c r="G55" s="8">
        <v>92</v>
      </c>
      <c r="H55" s="5"/>
      <c r="I55" s="11" t="s">
        <v>1067</v>
      </c>
      <c r="J55" s="5"/>
      <c r="K55" s="5"/>
      <c r="L55" s="61">
        <v>7000</v>
      </c>
      <c r="M55" s="61"/>
      <c r="N55" s="58">
        <v>45843</v>
      </c>
      <c r="O55" s="7">
        <v>3000</v>
      </c>
      <c r="P55" s="8" t="s">
        <v>18</v>
      </c>
      <c r="Q55" s="58">
        <v>45695</v>
      </c>
      <c r="R55" s="7">
        <v>1500</v>
      </c>
      <c r="S55" s="8" t="s">
        <v>19</v>
      </c>
      <c r="T55" s="5"/>
      <c r="U55" s="5"/>
      <c r="V55" s="5"/>
      <c r="W55" s="5"/>
      <c r="X55" s="5"/>
      <c r="Y55" s="5"/>
      <c r="Z55" s="5"/>
      <c r="AA55" s="5"/>
      <c r="AB55" s="5"/>
      <c r="AC55" s="124">
        <f t="shared" si="0"/>
        <v>2500</v>
      </c>
      <c r="AD55" s="5"/>
    </row>
    <row r="56" spans="1:30" s="69" customFormat="1" ht="66" customHeight="1" x14ac:dyDescent="0.35">
      <c r="A56" s="13" t="s">
        <v>342</v>
      </c>
      <c r="B56" s="66" t="s">
        <v>603</v>
      </c>
      <c r="C56" s="24" t="s">
        <v>648</v>
      </c>
      <c r="D56" s="23">
        <v>46114</v>
      </c>
      <c r="E56" s="5"/>
      <c r="F56" s="11" t="s">
        <v>1385</v>
      </c>
      <c r="G56" s="8">
        <v>185</v>
      </c>
      <c r="H56" s="5"/>
      <c r="I56" s="11"/>
      <c r="J56" s="5"/>
      <c r="K56" s="5"/>
      <c r="L56" s="61">
        <f>19000</f>
        <v>19000</v>
      </c>
      <c r="M56" s="61"/>
      <c r="N56" s="58">
        <v>46140</v>
      </c>
      <c r="O56" s="7">
        <v>19000</v>
      </c>
      <c r="P56" s="8" t="s">
        <v>1255</v>
      </c>
      <c r="Q56" s="58"/>
      <c r="R56" s="7"/>
      <c r="S56" s="8"/>
      <c r="T56" s="5"/>
      <c r="U56" s="5"/>
      <c r="V56" s="5"/>
      <c r="W56" s="5"/>
      <c r="X56" s="5"/>
      <c r="Y56" s="5"/>
      <c r="Z56" s="5"/>
      <c r="AA56" s="5"/>
      <c r="AB56" s="5"/>
      <c r="AC56" s="126">
        <f t="shared" si="0"/>
        <v>0</v>
      </c>
      <c r="AD56" s="5"/>
    </row>
    <row r="57" spans="1:30" s="69" customFormat="1" ht="66" customHeight="1" x14ac:dyDescent="0.35">
      <c r="A57" s="13" t="s">
        <v>343</v>
      </c>
      <c r="B57" s="66" t="s">
        <v>604</v>
      </c>
      <c r="C57" s="24"/>
      <c r="D57" s="23"/>
      <c r="E57" s="5"/>
      <c r="F57" s="8" t="s">
        <v>1099</v>
      </c>
      <c r="G57" s="8">
        <v>59</v>
      </c>
      <c r="H57" s="5"/>
      <c r="I57" s="11" t="s">
        <v>1100</v>
      </c>
      <c r="J57" s="5"/>
      <c r="K57" s="5"/>
      <c r="L57" s="61"/>
      <c r="M57" s="61"/>
      <c r="N57" s="58"/>
      <c r="O57" s="7"/>
      <c r="P57" s="8"/>
      <c r="Q57" s="58"/>
      <c r="R57" s="7"/>
      <c r="S57" s="8"/>
      <c r="T57" s="5"/>
      <c r="U57" s="5"/>
      <c r="V57" s="5"/>
      <c r="W57" s="5"/>
      <c r="X57" s="5"/>
      <c r="Y57" s="5"/>
      <c r="Z57" s="5"/>
      <c r="AA57" s="5"/>
      <c r="AB57" s="5"/>
      <c r="AC57" s="126">
        <f t="shared" si="0"/>
        <v>0</v>
      </c>
      <c r="AD57" s="5"/>
    </row>
    <row r="58" spans="1:30" s="69" customFormat="1" ht="66" customHeight="1" x14ac:dyDescent="0.35">
      <c r="A58" s="13" t="s">
        <v>344</v>
      </c>
      <c r="B58" s="66" t="s">
        <v>605</v>
      </c>
      <c r="C58" s="24"/>
      <c r="D58" s="23"/>
      <c r="E58" s="5"/>
      <c r="F58" s="8" t="s">
        <v>1268</v>
      </c>
      <c r="G58" s="8">
        <v>160</v>
      </c>
      <c r="H58" s="5"/>
      <c r="I58" s="11" t="s">
        <v>1269</v>
      </c>
      <c r="J58" s="5"/>
      <c r="K58" s="5"/>
      <c r="L58" s="61"/>
      <c r="M58" s="61"/>
      <c r="N58" s="58">
        <v>46140</v>
      </c>
      <c r="O58" s="7">
        <v>10000</v>
      </c>
      <c r="P58" s="8" t="s">
        <v>19</v>
      </c>
      <c r="Q58" s="58"/>
      <c r="R58" s="7"/>
      <c r="S58" s="8"/>
      <c r="T58" s="5"/>
      <c r="U58" s="5"/>
      <c r="V58" s="5"/>
      <c r="W58" s="5"/>
      <c r="X58" s="5"/>
      <c r="Y58" s="5"/>
      <c r="Z58" s="5"/>
      <c r="AA58" s="5"/>
      <c r="AB58" s="5"/>
      <c r="AC58" s="124">
        <f t="shared" si="0"/>
        <v>-10000</v>
      </c>
      <c r="AD58" s="5"/>
    </row>
    <row r="59" spans="1:30" s="69" customFormat="1" ht="66" customHeight="1" x14ac:dyDescent="0.35">
      <c r="A59" s="13" t="s">
        <v>345</v>
      </c>
      <c r="B59" s="66" t="s">
        <v>606</v>
      </c>
      <c r="C59" s="24"/>
      <c r="D59" s="23"/>
      <c r="E59" s="5"/>
      <c r="F59" s="8"/>
      <c r="G59" s="8"/>
      <c r="H59" s="5"/>
      <c r="I59" s="11"/>
      <c r="J59" s="5"/>
      <c r="K59" s="5"/>
      <c r="L59" s="61"/>
      <c r="M59" s="61"/>
      <c r="N59" s="58"/>
      <c r="O59" s="7"/>
      <c r="P59" s="8"/>
      <c r="Q59" s="58"/>
      <c r="R59" s="7"/>
      <c r="S59" s="8"/>
      <c r="T59" s="5"/>
      <c r="U59" s="5"/>
      <c r="V59" s="5"/>
      <c r="W59" s="5"/>
      <c r="X59" s="5"/>
      <c r="Y59" s="5"/>
      <c r="Z59" s="5"/>
      <c r="AA59" s="5"/>
      <c r="AB59" s="5"/>
      <c r="AC59" s="126">
        <f t="shared" si="0"/>
        <v>0</v>
      </c>
      <c r="AD59" s="5"/>
    </row>
    <row r="60" spans="1:30" s="69" customFormat="1" ht="66" customHeight="1" x14ac:dyDescent="0.35">
      <c r="A60" s="13" t="s">
        <v>346</v>
      </c>
      <c r="B60" s="66" t="s">
        <v>607</v>
      </c>
      <c r="C60" s="24"/>
      <c r="D60" s="23"/>
      <c r="E60" s="5"/>
      <c r="F60" s="8"/>
      <c r="G60" s="8"/>
      <c r="H60" s="5"/>
      <c r="I60" s="11"/>
      <c r="J60" s="5"/>
      <c r="K60" s="5"/>
      <c r="L60" s="61"/>
      <c r="M60" s="61"/>
      <c r="N60" s="58"/>
      <c r="O60" s="7"/>
      <c r="P60" s="8"/>
      <c r="Q60" s="58"/>
      <c r="R60" s="7"/>
      <c r="S60" s="8"/>
      <c r="T60" s="5"/>
      <c r="U60" s="5"/>
      <c r="V60" s="5"/>
      <c r="W60" s="5"/>
      <c r="X60" s="5"/>
      <c r="Y60" s="5"/>
      <c r="Z60" s="5"/>
      <c r="AA60" s="5"/>
      <c r="AB60" s="5"/>
      <c r="AC60" s="126">
        <f t="shared" si="0"/>
        <v>0</v>
      </c>
      <c r="AD60" s="5"/>
    </row>
    <row r="61" spans="1:30" s="69" customFormat="1" ht="66" customHeight="1" x14ac:dyDescent="0.35">
      <c r="A61" s="13" t="s">
        <v>347</v>
      </c>
      <c r="B61" s="188" t="s">
        <v>1291</v>
      </c>
      <c r="C61" s="24"/>
      <c r="D61" s="23"/>
      <c r="E61" s="5"/>
      <c r="F61" s="11" t="s">
        <v>1384</v>
      </c>
      <c r="G61" s="8"/>
      <c r="H61" s="5"/>
      <c r="I61" s="11"/>
      <c r="J61" s="5"/>
      <c r="K61" s="5"/>
      <c r="L61" s="61">
        <f>12000+2000+3000+15</f>
        <v>17015</v>
      </c>
      <c r="M61" s="61">
        <v>2000</v>
      </c>
      <c r="N61" s="58">
        <v>46203</v>
      </c>
      <c r="O61" s="7">
        <v>4000</v>
      </c>
      <c r="P61" s="8" t="s">
        <v>19</v>
      </c>
      <c r="Q61" s="58"/>
      <c r="R61" s="7"/>
      <c r="S61" s="8"/>
      <c r="T61" s="5"/>
      <c r="U61" s="5"/>
      <c r="V61" s="5"/>
      <c r="W61" s="5"/>
      <c r="X61" s="5"/>
      <c r="Y61" s="5"/>
      <c r="Z61" s="5"/>
      <c r="AA61" s="5"/>
      <c r="AB61" s="5"/>
      <c r="AC61" s="126">
        <f t="shared" si="0"/>
        <v>15015</v>
      </c>
      <c r="AD61" s="5"/>
    </row>
    <row r="62" spans="1:30" s="69" customFormat="1" ht="66" customHeight="1" x14ac:dyDescent="0.35">
      <c r="A62" s="13" t="s">
        <v>348</v>
      </c>
      <c r="B62" s="66" t="s">
        <v>608</v>
      </c>
      <c r="C62" s="24"/>
      <c r="D62" s="23"/>
      <c r="E62" s="5"/>
      <c r="F62" s="8"/>
      <c r="G62" s="8"/>
      <c r="H62" s="5"/>
      <c r="I62" s="11"/>
      <c r="J62" s="5"/>
      <c r="K62" s="5"/>
      <c r="L62" s="61"/>
      <c r="M62" s="61"/>
      <c r="N62" s="58"/>
      <c r="O62" s="7"/>
      <c r="P62" s="8"/>
      <c r="Q62" s="58"/>
      <c r="R62" s="7"/>
      <c r="S62" s="8"/>
      <c r="T62" s="5"/>
      <c r="U62" s="5"/>
      <c r="V62" s="5"/>
      <c r="W62" s="5"/>
      <c r="X62" s="5"/>
      <c r="Y62" s="5"/>
      <c r="Z62" s="5"/>
      <c r="AA62" s="5"/>
      <c r="AB62" s="5"/>
      <c r="AC62" s="126">
        <f t="shared" si="0"/>
        <v>0</v>
      </c>
      <c r="AD62" s="5"/>
    </row>
    <row r="63" spans="1:30" s="69" customFormat="1" ht="66" customHeight="1" x14ac:dyDescent="0.35">
      <c r="A63" s="139" t="s">
        <v>349</v>
      </c>
      <c r="B63" s="140" t="s">
        <v>609</v>
      </c>
      <c r="C63" s="141" t="s">
        <v>649</v>
      </c>
      <c r="D63" s="142">
        <v>46122</v>
      </c>
      <c r="E63" s="145"/>
      <c r="F63" s="144" t="s">
        <v>1095</v>
      </c>
      <c r="G63" s="144">
        <v>1626</v>
      </c>
      <c r="H63" s="145"/>
      <c r="I63" s="146" t="s">
        <v>1098</v>
      </c>
      <c r="J63" s="145"/>
      <c r="K63" s="145"/>
      <c r="L63" s="125">
        <v>25000</v>
      </c>
      <c r="M63" s="125"/>
      <c r="N63" s="147">
        <v>46084</v>
      </c>
      <c r="O63" s="82">
        <v>25000</v>
      </c>
      <c r="P63" s="144" t="s">
        <v>1029</v>
      </c>
      <c r="Q63" s="147"/>
      <c r="R63" s="82"/>
      <c r="S63" s="144"/>
      <c r="T63" s="145"/>
      <c r="U63" s="145"/>
      <c r="V63" s="145"/>
      <c r="W63" s="145"/>
      <c r="X63" s="145"/>
      <c r="Y63" s="145"/>
      <c r="Z63" s="145"/>
      <c r="AA63" s="145"/>
      <c r="AB63" s="145"/>
      <c r="AC63" s="125">
        <f t="shared" si="0"/>
        <v>0</v>
      </c>
      <c r="AD63" s="5"/>
    </row>
    <row r="64" spans="1:30" s="69" customFormat="1" ht="66" customHeight="1" x14ac:dyDescent="0.35">
      <c r="A64" s="139" t="s">
        <v>350</v>
      </c>
      <c r="B64" s="140" t="s">
        <v>610</v>
      </c>
      <c r="C64" s="141" t="s">
        <v>650</v>
      </c>
      <c r="D64" s="142">
        <v>46122</v>
      </c>
      <c r="E64" s="145"/>
      <c r="F64" s="144" t="s">
        <v>1095</v>
      </c>
      <c r="G64" s="144">
        <v>1889</v>
      </c>
      <c r="H64" s="145"/>
      <c r="I64" s="146" t="s">
        <v>1097</v>
      </c>
      <c r="J64" s="145"/>
      <c r="K64" s="145"/>
      <c r="L64" s="125">
        <v>25000</v>
      </c>
      <c r="M64" s="125"/>
      <c r="N64" s="147">
        <v>46084</v>
      </c>
      <c r="O64" s="82">
        <v>25000</v>
      </c>
      <c r="P64" s="144" t="s">
        <v>1029</v>
      </c>
      <c r="Q64" s="147"/>
      <c r="R64" s="82"/>
      <c r="S64" s="144"/>
      <c r="T64" s="145"/>
      <c r="U64" s="145"/>
      <c r="V64" s="145"/>
      <c r="W64" s="145"/>
      <c r="X64" s="145"/>
      <c r="Y64" s="145"/>
      <c r="Z64" s="145"/>
      <c r="AA64" s="145"/>
      <c r="AB64" s="145"/>
      <c r="AC64" s="125">
        <f t="shared" si="0"/>
        <v>0</v>
      </c>
      <c r="AD64" s="5"/>
    </row>
    <row r="65" spans="1:314" s="69" customFormat="1" ht="66" customHeight="1" x14ac:dyDescent="0.35">
      <c r="A65" s="139" t="s">
        <v>351</v>
      </c>
      <c r="B65" s="140" t="s">
        <v>611</v>
      </c>
      <c r="C65" s="141" t="s">
        <v>651</v>
      </c>
      <c r="D65" s="142">
        <v>46122</v>
      </c>
      <c r="E65" s="145"/>
      <c r="F65" s="144" t="s">
        <v>1095</v>
      </c>
      <c r="G65" s="144">
        <v>1640</v>
      </c>
      <c r="H65" s="145"/>
      <c r="I65" s="146" t="s">
        <v>1096</v>
      </c>
      <c r="J65" s="145"/>
      <c r="K65" s="145"/>
      <c r="L65" s="125">
        <v>25000</v>
      </c>
      <c r="M65" s="125"/>
      <c r="N65" s="147">
        <v>46087</v>
      </c>
      <c r="O65" s="82">
        <v>25000</v>
      </c>
      <c r="P65" s="144" t="s">
        <v>1029</v>
      </c>
      <c r="Q65" s="147"/>
      <c r="R65" s="82"/>
      <c r="S65" s="144"/>
      <c r="T65" s="145"/>
      <c r="U65" s="145"/>
      <c r="V65" s="145"/>
      <c r="W65" s="145"/>
      <c r="X65" s="145"/>
      <c r="Y65" s="145"/>
      <c r="Z65" s="145"/>
      <c r="AA65" s="145"/>
      <c r="AB65" s="145"/>
      <c r="AC65" s="125">
        <f t="shared" si="0"/>
        <v>0</v>
      </c>
      <c r="AD65" s="5"/>
    </row>
    <row r="66" spans="1:314" s="69" customFormat="1" ht="66" customHeight="1" x14ac:dyDescent="0.35">
      <c r="A66" s="13" t="s">
        <v>352</v>
      </c>
      <c r="B66" s="66" t="s">
        <v>612</v>
      </c>
      <c r="C66" s="153">
        <v>1943</v>
      </c>
      <c r="D66" s="23">
        <v>46136</v>
      </c>
      <c r="E66" s="59">
        <v>46232</v>
      </c>
      <c r="F66" s="72" t="s">
        <v>1036</v>
      </c>
      <c r="G66" s="8">
        <v>196</v>
      </c>
      <c r="H66" s="5"/>
      <c r="I66" s="11" t="s">
        <v>1066</v>
      </c>
      <c r="J66" s="5"/>
      <c r="K66" s="5"/>
      <c r="L66" s="61">
        <v>17000.004000000001</v>
      </c>
      <c r="M66" s="61"/>
      <c r="N66" s="58">
        <v>46084</v>
      </c>
      <c r="O66" s="7">
        <v>4000</v>
      </c>
      <c r="P66" s="8" t="s">
        <v>19</v>
      </c>
      <c r="Q66" s="58">
        <v>46092</v>
      </c>
      <c r="R66" s="7">
        <v>5000</v>
      </c>
      <c r="S66" s="11" t="s">
        <v>1037</v>
      </c>
      <c r="T66" s="5"/>
      <c r="U66" s="5"/>
      <c r="V66" s="5"/>
      <c r="W66" s="5"/>
      <c r="X66" s="5"/>
      <c r="Y66" s="5"/>
      <c r="Z66" s="5"/>
      <c r="AA66" s="5"/>
      <c r="AB66" s="5"/>
      <c r="AC66" s="124">
        <f t="shared" si="0"/>
        <v>8000.0040000000008</v>
      </c>
      <c r="AD66" s="5"/>
    </row>
    <row r="67" spans="1:314" s="180" customFormat="1" ht="66" customHeight="1" x14ac:dyDescent="0.35">
      <c r="A67" s="183" t="s">
        <v>353</v>
      </c>
      <c r="B67" s="66" t="s">
        <v>1264</v>
      </c>
      <c r="C67" s="153">
        <v>3388</v>
      </c>
      <c r="D67" s="59">
        <v>46191</v>
      </c>
      <c r="E67" s="5"/>
      <c r="F67" s="72" t="s">
        <v>1270</v>
      </c>
      <c r="G67" s="8">
        <v>88</v>
      </c>
      <c r="H67" s="182" t="s">
        <v>1265</v>
      </c>
      <c r="I67" s="5" t="s">
        <v>1267</v>
      </c>
      <c r="J67" s="5"/>
      <c r="K67" s="5"/>
      <c r="L67" s="61">
        <v>9200</v>
      </c>
      <c r="M67" s="61">
        <v>3000</v>
      </c>
      <c r="N67" s="58">
        <v>46141</v>
      </c>
      <c r="O67" s="7">
        <v>5000</v>
      </c>
      <c r="P67" s="8" t="s">
        <v>1029</v>
      </c>
      <c r="Q67" s="58">
        <v>46223</v>
      </c>
      <c r="R67" s="7">
        <v>3000</v>
      </c>
      <c r="S67" s="8" t="s">
        <v>19</v>
      </c>
      <c r="T67" s="5"/>
      <c r="U67" s="5"/>
      <c r="V67" s="5"/>
      <c r="W67" s="5"/>
      <c r="X67" s="5"/>
      <c r="Y67" s="5"/>
      <c r="Z67" s="5"/>
      <c r="AA67" s="5"/>
      <c r="AB67" s="5"/>
      <c r="AC67" s="124">
        <f>+(L67+M67)-O67-R67-U67-X67-AA67</f>
        <v>4200</v>
      </c>
      <c r="AD67" s="5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/>
      <c r="BY67" s="69"/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69"/>
      <c r="CL67" s="69"/>
      <c r="CM67" s="69"/>
      <c r="CN67" s="69"/>
      <c r="CO67" s="69"/>
      <c r="CP67" s="69"/>
      <c r="CQ67" s="69"/>
      <c r="CR67" s="69"/>
      <c r="CS67" s="69"/>
      <c r="CT67" s="69"/>
      <c r="CU67" s="69"/>
      <c r="CV67" s="69"/>
      <c r="CW67" s="69"/>
      <c r="CX67" s="69"/>
      <c r="CY67" s="69"/>
      <c r="CZ67" s="69"/>
      <c r="DA67" s="69"/>
      <c r="DB67" s="69"/>
      <c r="DC67" s="69"/>
      <c r="DD67" s="69"/>
      <c r="DE67" s="69"/>
      <c r="DF67" s="69"/>
      <c r="DG67" s="69"/>
      <c r="DH67" s="69"/>
      <c r="DI67" s="69"/>
      <c r="DJ67" s="69"/>
      <c r="DK67" s="69"/>
      <c r="DL67" s="69"/>
      <c r="DM67" s="69"/>
      <c r="DN67" s="69"/>
      <c r="DO67" s="69"/>
      <c r="DP67" s="69"/>
      <c r="DQ67" s="69"/>
      <c r="DR67" s="69"/>
      <c r="DS67" s="69"/>
      <c r="DT67" s="69"/>
      <c r="DU67" s="69"/>
      <c r="DV67" s="69"/>
      <c r="DW67" s="69"/>
      <c r="DX67" s="69"/>
      <c r="DY67" s="69"/>
      <c r="DZ67" s="69"/>
      <c r="EA67" s="69"/>
      <c r="EB67" s="69"/>
      <c r="EC67" s="69"/>
      <c r="ED67" s="69"/>
      <c r="EE67" s="69"/>
      <c r="EF67" s="69"/>
      <c r="EG67" s="69"/>
      <c r="EH67" s="69"/>
      <c r="EI67" s="69"/>
      <c r="EJ67" s="69"/>
      <c r="EK67" s="69"/>
      <c r="EL67" s="69"/>
      <c r="EM67" s="69"/>
      <c r="EN67" s="69"/>
      <c r="EO67" s="69"/>
      <c r="EP67" s="69"/>
      <c r="EQ67" s="69"/>
      <c r="ER67" s="69"/>
      <c r="ES67" s="69"/>
      <c r="ET67" s="69"/>
      <c r="EU67" s="69"/>
      <c r="EV67" s="69"/>
      <c r="EW67" s="69"/>
      <c r="EX67" s="69"/>
      <c r="EY67" s="69"/>
      <c r="EZ67" s="69"/>
      <c r="FA67" s="69"/>
      <c r="FB67" s="69"/>
      <c r="FC67" s="69"/>
      <c r="FD67" s="69"/>
      <c r="FE67" s="69"/>
      <c r="FF67" s="69"/>
      <c r="FG67" s="69"/>
      <c r="FH67" s="69"/>
      <c r="FI67" s="69"/>
      <c r="FJ67" s="69"/>
      <c r="FK67" s="69"/>
      <c r="FL67" s="69"/>
      <c r="FM67" s="69"/>
      <c r="FN67" s="69"/>
      <c r="FO67" s="69"/>
      <c r="FP67" s="69"/>
      <c r="FQ67" s="69"/>
      <c r="FR67" s="69"/>
      <c r="FS67" s="69"/>
      <c r="FT67" s="69"/>
      <c r="FU67" s="69"/>
      <c r="FV67" s="69"/>
      <c r="FW67" s="69"/>
      <c r="FX67" s="69"/>
      <c r="FY67" s="69"/>
      <c r="FZ67" s="69"/>
      <c r="GA67" s="69"/>
      <c r="GB67" s="69"/>
      <c r="GC67" s="69"/>
      <c r="GD67" s="69"/>
      <c r="GE67" s="69"/>
      <c r="GF67" s="69"/>
      <c r="GG67" s="69"/>
      <c r="GH67" s="69"/>
      <c r="GI67" s="69"/>
      <c r="GJ67" s="69"/>
      <c r="GK67" s="69"/>
      <c r="GL67" s="69"/>
      <c r="GM67" s="69"/>
      <c r="GN67" s="69"/>
      <c r="GO67" s="69"/>
      <c r="GP67" s="69"/>
      <c r="GQ67" s="69"/>
      <c r="GR67" s="69"/>
      <c r="GS67" s="69"/>
      <c r="GT67" s="69"/>
      <c r="GU67" s="69"/>
      <c r="GV67" s="69"/>
      <c r="GW67" s="69"/>
      <c r="GX67" s="69"/>
      <c r="GY67" s="69"/>
      <c r="GZ67" s="69"/>
      <c r="HA67" s="69"/>
      <c r="HB67" s="69"/>
      <c r="HC67" s="69"/>
      <c r="HD67" s="69"/>
      <c r="HE67" s="69"/>
      <c r="HF67" s="69"/>
      <c r="HG67" s="69"/>
      <c r="HH67" s="69"/>
      <c r="HI67" s="69"/>
      <c r="HJ67" s="69"/>
      <c r="HK67" s="69"/>
      <c r="HL67" s="69"/>
      <c r="HM67" s="69"/>
      <c r="HN67" s="69"/>
      <c r="HO67" s="69"/>
      <c r="HP67" s="69"/>
      <c r="HQ67" s="69"/>
      <c r="HR67" s="69"/>
      <c r="HS67" s="69"/>
      <c r="HT67" s="69"/>
      <c r="HU67" s="69"/>
      <c r="HV67" s="69"/>
      <c r="HW67" s="69"/>
      <c r="HX67" s="69"/>
      <c r="HY67" s="69"/>
      <c r="HZ67" s="69"/>
      <c r="IA67" s="69"/>
      <c r="IB67" s="69"/>
      <c r="IC67" s="69"/>
      <c r="ID67" s="69"/>
      <c r="IE67" s="69"/>
      <c r="IF67" s="69"/>
      <c r="IG67" s="69"/>
      <c r="IH67" s="69"/>
      <c r="II67" s="69"/>
      <c r="IJ67" s="69"/>
      <c r="IK67" s="69"/>
      <c r="IL67" s="69"/>
      <c r="IM67" s="69"/>
      <c r="IN67" s="69"/>
      <c r="IO67" s="69"/>
      <c r="IP67" s="69"/>
      <c r="IQ67" s="69"/>
      <c r="IR67" s="69"/>
      <c r="IS67" s="69"/>
      <c r="IT67" s="69"/>
      <c r="IU67" s="69"/>
      <c r="IV67" s="69"/>
      <c r="IW67" s="69"/>
      <c r="IX67" s="69"/>
      <c r="IY67" s="69"/>
      <c r="IZ67" s="69"/>
      <c r="JA67" s="69"/>
      <c r="JB67" s="69"/>
      <c r="JC67" s="69"/>
      <c r="JD67" s="69"/>
      <c r="JE67" s="69"/>
      <c r="JF67" s="69"/>
      <c r="JG67" s="69"/>
      <c r="JH67" s="69"/>
      <c r="JI67" s="69"/>
      <c r="JJ67" s="69"/>
      <c r="JK67" s="69"/>
      <c r="JL67" s="69"/>
      <c r="JM67" s="69"/>
      <c r="JN67" s="69"/>
      <c r="JO67" s="69"/>
      <c r="JP67" s="69"/>
      <c r="JQ67" s="69"/>
      <c r="JR67" s="69"/>
      <c r="JS67" s="69"/>
      <c r="JT67" s="69"/>
      <c r="JU67" s="69"/>
      <c r="JV67" s="69"/>
      <c r="JW67" s="69"/>
      <c r="JX67" s="69"/>
      <c r="JY67" s="69"/>
      <c r="JZ67" s="69"/>
      <c r="KA67" s="69"/>
      <c r="KB67" s="69"/>
      <c r="KC67" s="69"/>
      <c r="KD67" s="69"/>
      <c r="KE67" s="69"/>
      <c r="KF67" s="69"/>
      <c r="KG67" s="69"/>
      <c r="KH67" s="69"/>
      <c r="KI67" s="69"/>
      <c r="KJ67" s="69"/>
      <c r="KK67" s="69"/>
      <c r="KL67" s="69"/>
      <c r="KM67" s="69"/>
      <c r="KN67" s="69"/>
      <c r="KO67" s="69"/>
      <c r="KP67" s="69"/>
      <c r="KQ67" s="69"/>
      <c r="KR67" s="69"/>
      <c r="KS67" s="69"/>
      <c r="KT67" s="69"/>
      <c r="KU67" s="69"/>
      <c r="KV67" s="69"/>
      <c r="KW67" s="69"/>
      <c r="KX67" s="69"/>
      <c r="KY67" s="69"/>
      <c r="KZ67" s="69"/>
      <c r="LA67" s="69"/>
      <c r="LB67" s="69"/>
    </row>
    <row r="68" spans="1:314" s="69" customFormat="1" ht="66" customHeight="1" x14ac:dyDescent="0.35">
      <c r="A68" s="139" t="s">
        <v>354</v>
      </c>
      <c r="B68" s="140" t="s">
        <v>613</v>
      </c>
      <c r="C68" s="141" t="s">
        <v>652</v>
      </c>
      <c r="D68" s="142">
        <v>46122</v>
      </c>
      <c r="E68" s="145"/>
      <c r="F68" s="143" t="s">
        <v>1266</v>
      </c>
      <c r="G68" s="144">
        <v>102</v>
      </c>
      <c r="H68" s="145"/>
      <c r="I68" s="146" t="s">
        <v>1065</v>
      </c>
      <c r="J68" s="145"/>
      <c r="K68" s="145"/>
      <c r="L68" s="125">
        <v>8215</v>
      </c>
      <c r="M68" s="125"/>
      <c r="N68" s="147">
        <v>46086</v>
      </c>
      <c r="O68" s="82">
        <v>5000</v>
      </c>
      <c r="P68" s="144" t="s">
        <v>19</v>
      </c>
      <c r="Q68" s="147">
        <v>46092</v>
      </c>
      <c r="R68" s="82">
        <v>1500</v>
      </c>
      <c r="S68" s="144" t="s">
        <v>19</v>
      </c>
      <c r="T68" s="169">
        <v>46140</v>
      </c>
      <c r="U68" s="82">
        <v>1715</v>
      </c>
      <c r="V68" s="145" t="s">
        <v>19</v>
      </c>
      <c r="W68" s="145"/>
      <c r="X68" s="145"/>
      <c r="Y68" s="145"/>
      <c r="Z68" s="145"/>
      <c r="AA68" s="145"/>
      <c r="AB68" s="145"/>
      <c r="AC68" s="125">
        <f t="shared" ref="AC68:AC86" si="1">+(L68+M68)-O68-R68-U68-X68-AA68</f>
        <v>0</v>
      </c>
      <c r="AD68" s="5"/>
    </row>
    <row r="69" spans="1:314" s="69" customFormat="1" ht="66" customHeight="1" x14ac:dyDescent="0.35">
      <c r="A69" s="139" t="s">
        <v>355</v>
      </c>
      <c r="B69" s="140" t="s">
        <v>614</v>
      </c>
      <c r="C69" s="141" t="s">
        <v>653</v>
      </c>
      <c r="D69" s="142">
        <v>46122</v>
      </c>
      <c r="E69" s="145"/>
      <c r="F69" s="143" t="s">
        <v>1042</v>
      </c>
      <c r="G69" s="144">
        <v>80</v>
      </c>
      <c r="H69" s="145"/>
      <c r="I69" s="146" t="s">
        <v>1064</v>
      </c>
      <c r="J69" s="145"/>
      <c r="K69" s="145"/>
      <c r="L69" s="125">
        <v>11000</v>
      </c>
      <c r="M69" s="125"/>
      <c r="N69" s="147"/>
      <c r="O69" s="82">
        <v>7000</v>
      </c>
      <c r="P69" s="144" t="s">
        <v>19</v>
      </c>
      <c r="Q69" s="147"/>
      <c r="R69" s="82">
        <v>2800</v>
      </c>
      <c r="S69" s="144" t="s">
        <v>19</v>
      </c>
      <c r="T69" s="145"/>
      <c r="U69" s="82">
        <v>1200</v>
      </c>
      <c r="V69" s="145" t="s">
        <v>19</v>
      </c>
      <c r="W69" s="145"/>
      <c r="X69" s="145"/>
      <c r="Y69" s="145"/>
      <c r="Z69" s="145"/>
      <c r="AA69" s="145"/>
      <c r="AB69" s="145"/>
      <c r="AC69" s="125">
        <f t="shared" si="1"/>
        <v>0</v>
      </c>
      <c r="AD69" s="5"/>
    </row>
    <row r="70" spans="1:314" s="69" customFormat="1" ht="91" customHeight="1" x14ac:dyDescent="0.35">
      <c r="A70" s="13" t="s">
        <v>356</v>
      </c>
      <c r="B70" s="66" t="s">
        <v>615</v>
      </c>
      <c r="C70" s="24"/>
      <c r="D70" s="23"/>
      <c r="E70" s="5"/>
      <c r="F70" s="72" t="s">
        <v>1387</v>
      </c>
      <c r="G70" s="8">
        <v>121</v>
      </c>
      <c r="H70" s="5"/>
      <c r="I70" s="11" t="s">
        <v>1063</v>
      </c>
      <c r="J70" s="5"/>
      <c r="K70" s="58"/>
      <c r="L70" s="61">
        <f>9215+4200</f>
        <v>13415</v>
      </c>
      <c r="M70" s="61">
        <v>2500</v>
      </c>
      <c r="N70" s="58">
        <v>46092</v>
      </c>
      <c r="O70" s="7">
        <v>2000</v>
      </c>
      <c r="P70" s="8" t="s">
        <v>19</v>
      </c>
      <c r="Q70" s="58">
        <v>46191</v>
      </c>
      <c r="R70" s="7">
        <v>3200</v>
      </c>
      <c r="S70" s="7" t="s">
        <v>19</v>
      </c>
      <c r="T70" s="211">
        <v>46225</v>
      </c>
      <c r="U70" s="86">
        <v>700</v>
      </c>
      <c r="V70" s="210" t="s">
        <v>19</v>
      </c>
      <c r="W70" s="59">
        <v>46225</v>
      </c>
      <c r="X70" s="86">
        <v>10000</v>
      </c>
      <c r="Y70" s="5" t="s">
        <v>1394</v>
      </c>
      <c r="Z70" s="5"/>
      <c r="AA70" s="5"/>
      <c r="AB70" s="5"/>
      <c r="AC70" s="124">
        <f t="shared" si="1"/>
        <v>15</v>
      </c>
      <c r="AD70" s="5"/>
    </row>
    <row r="71" spans="1:314" s="69" customFormat="1" ht="66" customHeight="1" x14ac:dyDescent="0.35">
      <c r="A71" s="13" t="s">
        <v>1262</v>
      </c>
      <c r="B71" s="66" t="s">
        <v>616</v>
      </c>
      <c r="C71" s="24" t="s">
        <v>654</v>
      </c>
      <c r="D71" s="23">
        <v>46122</v>
      </c>
      <c r="E71" s="5"/>
      <c r="F71" s="72" t="s">
        <v>1043</v>
      </c>
      <c r="G71" s="8">
        <v>126</v>
      </c>
      <c r="H71" s="5"/>
      <c r="I71" s="11" t="s">
        <v>1062</v>
      </c>
      <c r="J71" s="5"/>
      <c r="K71" s="58"/>
      <c r="L71" s="61">
        <v>13608</v>
      </c>
      <c r="M71" s="61"/>
      <c r="N71" s="58">
        <v>46108</v>
      </c>
      <c r="O71" s="7">
        <v>6800</v>
      </c>
      <c r="P71" s="8" t="s">
        <v>19</v>
      </c>
      <c r="Q71" s="58">
        <v>46116</v>
      </c>
      <c r="R71" s="7">
        <v>3200</v>
      </c>
      <c r="S71" s="8" t="s">
        <v>19</v>
      </c>
      <c r="T71" s="5"/>
      <c r="U71" s="5"/>
      <c r="V71" s="5"/>
      <c r="W71" s="5"/>
      <c r="X71" s="5"/>
      <c r="Y71" s="5"/>
      <c r="Z71" s="5"/>
      <c r="AA71" s="5"/>
      <c r="AB71" s="5"/>
      <c r="AC71" s="124">
        <f t="shared" si="1"/>
        <v>3608</v>
      </c>
      <c r="AD71" s="5"/>
    </row>
    <row r="72" spans="1:314" s="69" customFormat="1" ht="66" customHeight="1" x14ac:dyDescent="0.35">
      <c r="A72" s="13" t="s">
        <v>357</v>
      </c>
      <c r="B72" s="66" t="s">
        <v>617</v>
      </c>
      <c r="C72" s="153">
        <v>2150</v>
      </c>
      <c r="D72" s="23">
        <v>46136</v>
      </c>
      <c r="E72" s="5"/>
      <c r="F72" s="72" t="s">
        <v>1040</v>
      </c>
      <c r="G72" s="8">
        <v>80</v>
      </c>
      <c r="H72" s="5"/>
      <c r="I72" s="11" t="s">
        <v>1050</v>
      </c>
      <c r="J72" s="5"/>
      <c r="K72" s="58">
        <v>46116</v>
      </c>
      <c r="L72" s="61">
        <v>10900</v>
      </c>
      <c r="M72" s="61"/>
      <c r="N72" s="58">
        <v>46122</v>
      </c>
      <c r="O72" s="7">
        <v>5000</v>
      </c>
      <c r="P72" s="8" t="s">
        <v>19</v>
      </c>
      <c r="Q72" s="58"/>
      <c r="R72" s="7"/>
      <c r="S72" s="8"/>
      <c r="T72" s="5"/>
      <c r="U72" s="5"/>
      <c r="V72" s="5"/>
      <c r="W72" s="5"/>
      <c r="X72" s="5"/>
      <c r="Y72" s="5"/>
      <c r="Z72" s="5"/>
      <c r="AA72" s="5"/>
      <c r="AB72" s="5"/>
      <c r="AC72" s="124">
        <f t="shared" si="1"/>
        <v>5900</v>
      </c>
      <c r="AD72" s="5"/>
    </row>
    <row r="73" spans="1:314" s="69" customFormat="1" ht="66" customHeight="1" x14ac:dyDescent="0.35">
      <c r="A73" s="13" t="s">
        <v>358</v>
      </c>
      <c r="B73" s="66" t="s">
        <v>618</v>
      </c>
      <c r="C73" s="24" t="s">
        <v>655</v>
      </c>
      <c r="D73" s="23">
        <v>46122</v>
      </c>
      <c r="E73" s="5"/>
      <c r="F73" s="5" t="s">
        <v>1060</v>
      </c>
      <c r="G73" s="8">
        <v>100</v>
      </c>
      <c r="H73" s="5"/>
      <c r="I73" s="11" t="s">
        <v>1061</v>
      </c>
      <c r="J73" s="5"/>
      <c r="K73" s="58"/>
      <c r="L73" s="61"/>
      <c r="M73" s="61"/>
      <c r="N73" s="58">
        <v>46184</v>
      </c>
      <c r="O73" s="7">
        <v>2500</v>
      </c>
      <c r="P73" s="8" t="s">
        <v>19</v>
      </c>
      <c r="Q73" s="58"/>
      <c r="R73" s="7"/>
      <c r="S73" s="8"/>
      <c r="T73" s="5"/>
      <c r="U73" s="5"/>
      <c r="V73" s="5"/>
      <c r="W73" s="5"/>
      <c r="X73" s="5"/>
      <c r="Y73" s="5"/>
      <c r="Z73" s="5"/>
      <c r="AA73" s="5"/>
      <c r="AB73" s="5"/>
      <c r="AC73" s="126">
        <f t="shared" si="1"/>
        <v>-2500</v>
      </c>
      <c r="AD73" s="5"/>
    </row>
    <row r="74" spans="1:314" s="69" customFormat="1" ht="66" customHeight="1" x14ac:dyDescent="0.35">
      <c r="A74" s="139" t="s">
        <v>359</v>
      </c>
      <c r="B74" s="140" t="s">
        <v>619</v>
      </c>
      <c r="C74" s="141" t="s">
        <v>656</v>
      </c>
      <c r="D74" s="142">
        <v>46122</v>
      </c>
      <c r="E74" s="142">
        <v>46136</v>
      </c>
      <c r="F74" s="143" t="s">
        <v>1211</v>
      </c>
      <c r="G74" s="144">
        <v>95</v>
      </c>
      <c r="H74" s="145"/>
      <c r="I74" s="146" t="s">
        <v>1059</v>
      </c>
      <c r="J74" s="145"/>
      <c r="K74" s="147"/>
      <c r="L74" s="125">
        <v>12100</v>
      </c>
      <c r="M74" s="125"/>
      <c r="N74" s="147">
        <v>46059</v>
      </c>
      <c r="O74" s="82">
        <v>6100</v>
      </c>
      <c r="P74" s="144" t="s">
        <v>19</v>
      </c>
      <c r="Q74" s="147">
        <v>46136</v>
      </c>
      <c r="R74" s="82">
        <v>6000</v>
      </c>
      <c r="S74" s="144" t="s">
        <v>19</v>
      </c>
      <c r="T74" s="145"/>
      <c r="U74" s="145"/>
      <c r="V74" s="145"/>
      <c r="W74" s="145"/>
      <c r="X74" s="145"/>
      <c r="Y74" s="145"/>
      <c r="Z74" s="145"/>
      <c r="AA74" s="145"/>
      <c r="AB74" s="145"/>
      <c r="AC74" s="125">
        <f t="shared" si="1"/>
        <v>0</v>
      </c>
      <c r="AD74" s="5"/>
    </row>
    <row r="75" spans="1:314" s="69" customFormat="1" ht="66" customHeight="1" x14ac:dyDescent="0.35">
      <c r="A75" s="13" t="s">
        <v>360</v>
      </c>
      <c r="B75" s="66" t="s">
        <v>620</v>
      </c>
      <c r="C75" s="24">
        <v>2803</v>
      </c>
      <c r="D75" s="23">
        <v>46191</v>
      </c>
      <c r="E75" s="5"/>
      <c r="F75" s="8" t="s">
        <v>1055</v>
      </c>
      <c r="G75" s="8">
        <v>80</v>
      </c>
      <c r="H75" s="5"/>
      <c r="I75" s="8" t="s">
        <v>1058</v>
      </c>
      <c r="J75" s="5"/>
      <c r="K75" s="58">
        <v>46050</v>
      </c>
      <c r="L75" s="61">
        <v>7500</v>
      </c>
      <c r="M75" s="61"/>
      <c r="N75" s="58"/>
      <c r="O75" s="7"/>
      <c r="P75" s="8"/>
      <c r="Q75" s="58"/>
      <c r="R75" s="7"/>
      <c r="S75" s="8"/>
      <c r="T75" s="5"/>
      <c r="U75" s="5"/>
      <c r="V75" s="5"/>
      <c r="W75" s="5"/>
      <c r="X75" s="5"/>
      <c r="Y75" s="5"/>
      <c r="Z75" s="5"/>
      <c r="AA75" s="5"/>
      <c r="AB75" s="5"/>
      <c r="AC75" s="124">
        <f t="shared" si="1"/>
        <v>7500</v>
      </c>
      <c r="AD75" s="5"/>
    </row>
    <row r="76" spans="1:314" s="69" customFormat="1" ht="66" customHeight="1" x14ac:dyDescent="0.35">
      <c r="A76" s="139" t="s">
        <v>361</v>
      </c>
      <c r="B76" s="140" t="s">
        <v>1276</v>
      </c>
      <c r="C76" s="145"/>
      <c r="D76" s="145"/>
      <c r="E76" s="145"/>
      <c r="F76" s="143" t="s">
        <v>1277</v>
      </c>
      <c r="G76" s="145">
        <v>204</v>
      </c>
      <c r="H76" s="145"/>
      <c r="I76" s="145" t="s">
        <v>1273</v>
      </c>
      <c r="J76" s="145"/>
      <c r="K76" s="169">
        <v>46141</v>
      </c>
      <c r="L76" s="125">
        <f>17500+100+15</f>
        <v>17615</v>
      </c>
      <c r="M76" s="125"/>
      <c r="N76" s="147">
        <v>46144</v>
      </c>
      <c r="O76" s="82">
        <v>5000</v>
      </c>
      <c r="P76" s="145" t="s">
        <v>18</v>
      </c>
      <c r="Q76" s="169">
        <v>46147</v>
      </c>
      <c r="R76" s="82">
        <v>120</v>
      </c>
      <c r="S76" s="145" t="s">
        <v>19</v>
      </c>
      <c r="T76" s="169">
        <v>46218</v>
      </c>
      <c r="U76" s="145">
        <v>12500</v>
      </c>
      <c r="V76" s="145" t="s">
        <v>18</v>
      </c>
      <c r="W76" s="145"/>
      <c r="X76" s="145"/>
      <c r="Y76" s="145"/>
      <c r="Z76" s="145"/>
      <c r="AA76" s="145"/>
      <c r="AB76" s="145"/>
      <c r="AC76" s="209">
        <f t="shared" si="1"/>
        <v>-5</v>
      </c>
      <c r="AD76" s="5"/>
    </row>
    <row r="77" spans="1:314" s="69" customFormat="1" ht="66" customHeight="1" x14ac:dyDescent="0.35">
      <c r="A77" s="13" t="s">
        <v>362</v>
      </c>
      <c r="B77" s="66" t="s">
        <v>1293</v>
      </c>
      <c r="C77" s="21"/>
      <c r="D77" s="21"/>
      <c r="E77" s="5"/>
      <c r="F77" s="5" t="s">
        <v>1274</v>
      </c>
      <c r="G77" s="8"/>
      <c r="H77" s="5" t="s">
        <v>1292</v>
      </c>
      <c r="I77" s="5"/>
      <c r="J77" s="5"/>
      <c r="K77" s="59"/>
      <c r="L77" s="61">
        <v>131200</v>
      </c>
      <c r="M77" s="61"/>
      <c r="N77" s="58">
        <v>46140</v>
      </c>
      <c r="O77" s="7">
        <v>6240</v>
      </c>
      <c r="P77" s="58" t="s">
        <v>1029</v>
      </c>
      <c r="Q77" s="58"/>
      <c r="R77" s="7"/>
      <c r="S77" s="8"/>
      <c r="T77" s="5"/>
      <c r="U77" s="5"/>
      <c r="V77" s="5"/>
      <c r="W77" s="5"/>
      <c r="X77" s="5"/>
      <c r="Y77" s="5"/>
      <c r="Z77" s="5"/>
      <c r="AA77" s="5"/>
      <c r="AB77" s="5"/>
      <c r="AC77" s="184">
        <f t="shared" si="1"/>
        <v>124960</v>
      </c>
      <c r="AD77" s="5"/>
    </row>
    <row r="78" spans="1:314" s="69" customFormat="1" ht="66" customHeight="1" x14ac:dyDescent="0.35">
      <c r="A78" s="13" t="s">
        <v>363</v>
      </c>
      <c r="B78" s="66" t="s">
        <v>1275</v>
      </c>
      <c r="C78" s="21"/>
      <c r="D78" s="21"/>
      <c r="E78" s="5"/>
      <c r="F78" s="5"/>
      <c r="G78" s="8"/>
      <c r="H78" s="5"/>
      <c r="I78" s="5"/>
      <c r="J78" s="5"/>
      <c r="K78" s="5"/>
      <c r="L78" s="61">
        <v>13000</v>
      </c>
      <c r="M78" s="61"/>
      <c r="N78" s="58">
        <v>46139</v>
      </c>
      <c r="O78" s="7">
        <v>1500</v>
      </c>
      <c r="P78" s="8" t="s">
        <v>1029</v>
      </c>
      <c r="Q78" s="58"/>
      <c r="R78" s="7"/>
      <c r="S78" s="8"/>
      <c r="T78" s="5"/>
      <c r="U78" s="5"/>
      <c r="V78" s="5"/>
      <c r="W78" s="5"/>
      <c r="X78" s="5"/>
      <c r="Y78" s="5"/>
      <c r="Z78" s="5"/>
      <c r="AA78" s="5"/>
      <c r="AB78" s="5"/>
      <c r="AC78" s="184">
        <f t="shared" si="1"/>
        <v>11500</v>
      </c>
      <c r="AD78" s="5"/>
    </row>
    <row r="79" spans="1:314" s="69" customFormat="1" ht="66" customHeight="1" x14ac:dyDescent="0.35">
      <c r="A79" s="13" t="s">
        <v>364</v>
      </c>
      <c r="B79" s="66" t="s">
        <v>1279</v>
      </c>
      <c r="C79" s="24">
        <v>3391</v>
      </c>
      <c r="D79" s="198">
        <v>46191</v>
      </c>
      <c r="E79" s="5"/>
      <c r="F79" s="11" t="s">
        <v>1283</v>
      </c>
      <c r="G79" s="8">
        <v>91</v>
      </c>
      <c r="H79" s="5" t="s">
        <v>1280</v>
      </c>
      <c r="I79" s="5" t="s">
        <v>1282</v>
      </c>
      <c r="J79" s="5"/>
      <c r="K79" s="5"/>
      <c r="L79" s="61">
        <v>8600</v>
      </c>
      <c r="M79" s="61"/>
      <c r="N79" s="58">
        <v>46110</v>
      </c>
      <c r="O79" s="7">
        <v>1500</v>
      </c>
      <c r="P79" s="8" t="s">
        <v>1255</v>
      </c>
      <c r="Q79" s="58">
        <v>46156</v>
      </c>
      <c r="R79" s="7">
        <v>3000</v>
      </c>
      <c r="S79" s="8" t="s">
        <v>1029</v>
      </c>
      <c r="T79" s="5"/>
      <c r="U79" s="5"/>
      <c r="V79" s="5"/>
      <c r="W79" s="5"/>
      <c r="X79" s="5"/>
      <c r="Y79" s="5"/>
      <c r="Z79" s="5"/>
      <c r="AA79" s="5"/>
      <c r="AB79" s="5"/>
      <c r="AC79" s="124">
        <f t="shared" si="1"/>
        <v>4100</v>
      </c>
      <c r="AD79" s="5"/>
    </row>
    <row r="80" spans="1:314" s="69" customFormat="1" ht="66" customHeight="1" x14ac:dyDescent="0.35">
      <c r="A80" s="13" t="s">
        <v>365</v>
      </c>
      <c r="B80" s="188" t="s">
        <v>1287</v>
      </c>
      <c r="C80" s="21"/>
      <c r="D80" s="21"/>
      <c r="E80" s="5"/>
      <c r="F80" s="11" t="s">
        <v>1288</v>
      </c>
      <c r="G80" s="8">
        <v>195</v>
      </c>
      <c r="H80" s="5"/>
      <c r="I80" s="5" t="s">
        <v>1289</v>
      </c>
      <c r="J80" s="5"/>
      <c r="K80" s="5"/>
      <c r="L80" s="61">
        <v>5000</v>
      </c>
      <c r="M80" s="61"/>
      <c r="N80" s="58"/>
      <c r="O80" s="7"/>
      <c r="P80" s="8"/>
      <c r="Q80" s="58"/>
      <c r="R80" s="7"/>
      <c r="S80" s="8"/>
      <c r="T80" s="5"/>
      <c r="U80" s="5"/>
      <c r="V80" s="5"/>
      <c r="W80" s="5"/>
      <c r="X80" s="5"/>
      <c r="Y80" s="5"/>
      <c r="Z80" s="5"/>
      <c r="AA80" s="5"/>
      <c r="AB80" s="5"/>
      <c r="AC80" s="124">
        <f t="shared" si="1"/>
        <v>5000</v>
      </c>
      <c r="AD80" s="5"/>
    </row>
    <row r="81" spans="1:30" s="69" customFormat="1" ht="66" customHeight="1" x14ac:dyDescent="0.35">
      <c r="A81" s="13" t="s">
        <v>366</v>
      </c>
      <c r="B81" s="188" t="s">
        <v>1296</v>
      </c>
      <c r="C81" s="21"/>
      <c r="D81" s="73"/>
      <c r="E81" s="5"/>
      <c r="F81" s="11" t="s">
        <v>1297</v>
      </c>
      <c r="G81" s="8"/>
      <c r="H81" s="5"/>
      <c r="I81" s="5"/>
      <c r="J81" s="5"/>
      <c r="K81" s="5"/>
      <c r="L81" s="61">
        <v>1500</v>
      </c>
      <c r="M81" s="61"/>
      <c r="N81" s="58">
        <v>46185</v>
      </c>
      <c r="O81" s="7">
        <v>1500</v>
      </c>
      <c r="P81" s="8" t="s">
        <v>19</v>
      </c>
      <c r="Q81" s="58"/>
      <c r="R81" s="7"/>
      <c r="S81" s="8"/>
      <c r="T81" s="5"/>
      <c r="U81" s="5"/>
      <c r="V81" s="5"/>
      <c r="W81" s="5"/>
      <c r="X81" s="5"/>
      <c r="Y81" s="5"/>
      <c r="Z81" s="5"/>
      <c r="AA81" s="5"/>
      <c r="AB81" s="5"/>
      <c r="AC81" s="126">
        <f t="shared" si="1"/>
        <v>0</v>
      </c>
      <c r="AD81" s="5"/>
    </row>
    <row r="82" spans="1:30" s="69" customFormat="1" ht="66" customHeight="1" x14ac:dyDescent="0.35">
      <c r="A82" s="13" t="s">
        <v>367</v>
      </c>
      <c r="B82" s="188" t="s">
        <v>1298</v>
      </c>
      <c r="C82" s="74"/>
      <c r="D82" s="75"/>
      <c r="E82" s="76"/>
      <c r="F82" s="76" t="s">
        <v>1299</v>
      </c>
      <c r="G82" s="8">
        <v>178</v>
      </c>
      <c r="H82" s="76"/>
      <c r="I82" s="197" t="s">
        <v>1300</v>
      </c>
      <c r="J82" s="76"/>
      <c r="K82" s="76"/>
      <c r="L82" s="61">
        <v>15000</v>
      </c>
      <c r="M82" s="61"/>
      <c r="N82" s="58">
        <v>46186</v>
      </c>
      <c r="O82" s="7">
        <v>5000</v>
      </c>
      <c r="P82" s="8" t="s">
        <v>19</v>
      </c>
      <c r="Q82" s="58"/>
      <c r="R82" s="7"/>
      <c r="S82" s="8"/>
      <c r="T82" s="76"/>
      <c r="U82" s="76"/>
      <c r="V82" s="76"/>
      <c r="W82" s="76"/>
      <c r="X82" s="76"/>
      <c r="Y82" s="76"/>
      <c r="Z82" s="76"/>
      <c r="AA82" s="76"/>
      <c r="AB82" s="76"/>
      <c r="AC82" s="124">
        <f t="shared" si="1"/>
        <v>10000</v>
      </c>
      <c r="AD82" s="76"/>
    </row>
    <row r="83" spans="1:30" s="69" customFormat="1" ht="66" customHeight="1" x14ac:dyDescent="0.35">
      <c r="A83" s="13" t="s">
        <v>368</v>
      </c>
      <c r="B83" s="188" t="s">
        <v>1342</v>
      </c>
      <c r="C83" s="24">
        <v>2796</v>
      </c>
      <c r="D83" s="59">
        <v>46191</v>
      </c>
      <c r="E83" s="5"/>
      <c r="F83" s="5" t="s">
        <v>1320</v>
      </c>
      <c r="G83" s="8"/>
      <c r="H83" s="5"/>
      <c r="I83" s="5"/>
      <c r="J83" s="5"/>
      <c r="K83" s="5"/>
      <c r="L83" s="61"/>
      <c r="M83" s="61"/>
      <c r="N83" s="58"/>
      <c r="O83" s="7"/>
      <c r="P83" s="8"/>
      <c r="Q83" s="58"/>
      <c r="R83" s="7"/>
      <c r="S83" s="8"/>
      <c r="T83" s="5"/>
      <c r="U83" s="5"/>
      <c r="V83" s="5"/>
      <c r="W83" s="5"/>
      <c r="X83" s="5"/>
      <c r="Y83" s="5"/>
      <c r="Z83" s="5"/>
      <c r="AA83" s="5"/>
      <c r="AB83" s="5"/>
      <c r="AC83" s="126">
        <f t="shared" si="1"/>
        <v>0</v>
      </c>
      <c r="AD83" s="5"/>
    </row>
    <row r="84" spans="1:30" s="69" customFormat="1" ht="66" customHeight="1" x14ac:dyDescent="0.35">
      <c r="A84" s="13" t="s">
        <v>369</v>
      </c>
      <c r="B84" s="188" t="s">
        <v>1344</v>
      </c>
      <c r="C84" s="24">
        <v>2606</v>
      </c>
      <c r="D84" s="59">
        <v>46191</v>
      </c>
      <c r="E84" s="5"/>
      <c r="F84" s="5"/>
      <c r="G84" s="8"/>
      <c r="H84" s="5"/>
      <c r="I84" s="5"/>
      <c r="J84" s="5"/>
      <c r="K84" s="5"/>
      <c r="L84" s="61"/>
      <c r="M84" s="61"/>
      <c r="N84" s="58"/>
      <c r="O84" s="7"/>
      <c r="P84" s="8"/>
      <c r="Q84" s="58"/>
      <c r="R84" s="7"/>
      <c r="S84" s="8"/>
      <c r="T84" s="5"/>
      <c r="U84" s="5"/>
      <c r="V84" s="5"/>
      <c r="W84" s="5"/>
      <c r="X84" s="5"/>
      <c r="Y84" s="5"/>
      <c r="Z84" s="5"/>
      <c r="AA84" s="5"/>
      <c r="AB84" s="5"/>
      <c r="AC84" s="126">
        <f t="shared" si="1"/>
        <v>0</v>
      </c>
      <c r="AD84" s="5"/>
    </row>
    <row r="85" spans="1:30" s="69" customFormat="1" ht="66" customHeight="1" x14ac:dyDescent="0.35">
      <c r="A85" s="13" t="s">
        <v>370</v>
      </c>
      <c r="B85" s="188" t="s">
        <v>1351</v>
      </c>
      <c r="C85" s="24">
        <v>2892</v>
      </c>
      <c r="D85" s="59">
        <v>46191</v>
      </c>
      <c r="E85" s="5"/>
      <c r="F85" s="5" t="s">
        <v>1352</v>
      </c>
      <c r="G85" s="8"/>
      <c r="H85" s="5"/>
      <c r="I85" s="5" t="s">
        <v>1356</v>
      </c>
      <c r="J85" s="5"/>
      <c r="K85" s="5"/>
      <c r="L85" s="61"/>
      <c r="M85" s="61"/>
      <c r="N85" s="58"/>
      <c r="O85" s="7"/>
      <c r="P85" s="8"/>
      <c r="Q85" s="58"/>
      <c r="R85" s="7"/>
      <c r="S85" s="8"/>
      <c r="T85" s="5"/>
      <c r="U85" s="5"/>
      <c r="V85" s="5"/>
      <c r="W85" s="5"/>
      <c r="X85" s="5"/>
      <c r="Y85" s="5"/>
      <c r="Z85" s="5"/>
      <c r="AA85" s="5"/>
      <c r="AB85" s="5"/>
      <c r="AC85" s="126">
        <f t="shared" si="1"/>
        <v>0</v>
      </c>
      <c r="AD85" s="5"/>
    </row>
    <row r="86" spans="1:30" s="69" customFormat="1" ht="66" customHeight="1" x14ac:dyDescent="0.35">
      <c r="A86" s="13" t="s">
        <v>371</v>
      </c>
      <c r="B86" s="188" t="s">
        <v>1353</v>
      </c>
      <c r="C86" s="5"/>
      <c r="D86" s="5"/>
      <c r="E86" s="5"/>
      <c r="F86" s="5" t="s">
        <v>1354</v>
      </c>
      <c r="G86" s="8">
        <v>2208</v>
      </c>
      <c r="H86" s="5"/>
      <c r="I86" s="5" t="s">
        <v>1355</v>
      </c>
      <c r="J86" s="5"/>
      <c r="K86" s="5"/>
      <c r="L86" s="61"/>
      <c r="M86" s="61"/>
      <c r="N86" s="58"/>
      <c r="O86" s="7"/>
      <c r="P86" s="8"/>
      <c r="Q86" s="58"/>
      <c r="R86" s="7"/>
      <c r="S86" s="8"/>
      <c r="T86" s="5"/>
      <c r="U86" s="5"/>
      <c r="V86" s="5"/>
      <c r="W86" s="5"/>
      <c r="X86" s="5"/>
      <c r="Y86" s="5"/>
      <c r="Z86" s="5"/>
      <c r="AA86" s="5"/>
      <c r="AB86" s="5"/>
      <c r="AC86" s="126">
        <f t="shared" si="1"/>
        <v>0</v>
      </c>
      <c r="AD86" s="5"/>
    </row>
    <row r="87" spans="1:30" s="69" customFormat="1" ht="66" customHeight="1" x14ac:dyDescent="0.35">
      <c r="A87" s="13" t="s">
        <v>1361</v>
      </c>
      <c r="B87" s="188" t="s">
        <v>1360</v>
      </c>
      <c r="C87" s="5"/>
      <c r="D87" s="5"/>
      <c r="E87" s="5"/>
      <c r="F87" s="5" t="s">
        <v>1371</v>
      </c>
      <c r="G87" s="8"/>
      <c r="H87" s="5"/>
      <c r="I87" s="5"/>
      <c r="J87" s="5"/>
      <c r="K87" s="5"/>
      <c r="L87" s="61">
        <v>7000</v>
      </c>
      <c r="M87" s="61"/>
      <c r="N87" s="59">
        <v>46198</v>
      </c>
      <c r="O87" s="7">
        <v>3500</v>
      </c>
      <c r="P87" s="8" t="s">
        <v>19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124">
        <f>+(L87+M87)-O87-R87-U87-X87-AA87</f>
        <v>3500</v>
      </c>
      <c r="AD87" s="5"/>
    </row>
    <row r="88" spans="1:30" ht="27.5" customHeight="1" x14ac:dyDescent="0.35">
      <c r="A88" s="13" t="s">
        <v>1362</v>
      </c>
      <c r="B88" s="188" t="s">
        <v>1375</v>
      </c>
      <c r="C88" s="1"/>
      <c r="D88" s="1"/>
      <c r="E88" s="1"/>
      <c r="F88" s="5" t="s">
        <v>1105</v>
      </c>
      <c r="G88" s="8"/>
      <c r="H88" s="5" t="s">
        <v>1376</v>
      </c>
      <c r="I88" s="5"/>
      <c r="J88" s="1"/>
      <c r="K88" s="1"/>
      <c r="L88" s="208">
        <v>7500</v>
      </c>
      <c r="M88" s="208"/>
      <c r="N88" s="59">
        <v>46213</v>
      </c>
      <c r="O88" s="7">
        <v>2500</v>
      </c>
      <c r="P88" s="8" t="s">
        <v>19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24">
        <f t="shared" ref="AC88:AC91" si="2">+(L88+M88)-O88-R88-U88-X88-AA88</f>
        <v>5000</v>
      </c>
      <c r="AD88" s="1"/>
    </row>
    <row r="89" spans="1:30" ht="50.5" customHeight="1" x14ac:dyDescent="0.35">
      <c r="A89" s="13" t="s">
        <v>1363</v>
      </c>
      <c r="B89" s="188" t="s">
        <v>1379</v>
      </c>
      <c r="C89" s="1"/>
      <c r="D89" s="1"/>
      <c r="E89" s="1"/>
      <c r="F89" s="189" t="s">
        <v>1381</v>
      </c>
      <c r="G89" s="8">
        <v>90</v>
      </c>
      <c r="H89" s="1"/>
      <c r="I89" s="189" t="s">
        <v>1380</v>
      </c>
      <c r="J89" s="1"/>
      <c r="K89" s="1"/>
      <c r="L89" s="61">
        <f>7500+100+15</f>
        <v>7615</v>
      </c>
      <c r="M89" s="56"/>
      <c r="N89" s="59">
        <v>46206</v>
      </c>
      <c r="O89" s="7">
        <v>5000</v>
      </c>
      <c r="P89" s="8" t="s">
        <v>19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24">
        <f t="shared" si="2"/>
        <v>2615</v>
      </c>
      <c r="AD89" s="1"/>
    </row>
    <row r="90" spans="1:30" ht="40" customHeight="1" x14ac:dyDescent="0.35">
      <c r="A90" s="13" t="s">
        <v>1364</v>
      </c>
      <c r="B90" s="188" t="s">
        <v>1377</v>
      </c>
      <c r="C90" s="1"/>
      <c r="D90" s="1"/>
      <c r="E90" s="1"/>
      <c r="F90" s="189" t="s">
        <v>1382</v>
      </c>
      <c r="G90" s="8">
        <v>124</v>
      </c>
      <c r="H90" s="1"/>
      <c r="I90" s="5" t="s">
        <v>1378</v>
      </c>
      <c r="J90" s="1"/>
      <c r="K90" s="1"/>
      <c r="L90" s="61">
        <f>12500+15</f>
        <v>12515</v>
      </c>
      <c r="M90" s="5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24">
        <f t="shared" si="2"/>
        <v>12515</v>
      </c>
      <c r="AD90" s="1"/>
    </row>
    <row r="91" spans="1:30" ht="33" customHeight="1" x14ac:dyDescent="0.35">
      <c r="A91" s="13" t="s">
        <v>1365</v>
      </c>
      <c r="B91" s="188" t="s">
        <v>1388</v>
      </c>
      <c r="C91" s="1"/>
      <c r="D91" s="1"/>
      <c r="E91" s="1"/>
      <c r="F91" s="189" t="s">
        <v>1390</v>
      </c>
      <c r="G91" s="8">
        <v>90</v>
      </c>
      <c r="H91" s="1"/>
      <c r="I91" s="189" t="s">
        <v>1389</v>
      </c>
      <c r="J91" s="1"/>
      <c r="K91" s="1"/>
      <c r="L91" s="61">
        <f>7500+100</f>
        <v>7600</v>
      </c>
      <c r="M91" s="56"/>
      <c r="N91" s="59">
        <v>46211</v>
      </c>
      <c r="O91" s="7">
        <v>7500</v>
      </c>
      <c r="P91" s="8" t="s">
        <v>19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25">
        <f t="shared" si="2"/>
        <v>100</v>
      </c>
      <c r="AD91" s="1"/>
    </row>
    <row r="92" spans="1:30" ht="27.5" customHeight="1" x14ac:dyDescent="0.35">
      <c r="A92" s="13" t="s">
        <v>1366</v>
      </c>
      <c r="B92" s="188" t="s">
        <v>1391</v>
      </c>
      <c r="C92" s="1"/>
      <c r="D92" s="1"/>
      <c r="E92" s="1"/>
      <c r="F92" s="5" t="s">
        <v>1392</v>
      </c>
      <c r="G92" s="8">
        <v>200</v>
      </c>
      <c r="H92" s="1"/>
      <c r="I92" s="189" t="s">
        <v>1393</v>
      </c>
      <c r="J92" s="1"/>
      <c r="K92" s="1"/>
      <c r="L92" s="56"/>
      <c r="M92" s="56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27.5" customHeight="1" x14ac:dyDescent="0.35">
      <c r="A93" s="13" t="s">
        <v>1367</v>
      </c>
      <c r="B93" s="188" t="s">
        <v>1395</v>
      </c>
      <c r="C93" s="1"/>
      <c r="D93" s="1"/>
      <c r="E93" s="1"/>
      <c r="F93" s="5" t="s">
        <v>1396</v>
      </c>
      <c r="G93" s="8"/>
      <c r="H93" s="1"/>
      <c r="I93" s="1"/>
      <c r="J93" s="1"/>
      <c r="K93" s="1"/>
      <c r="L93" s="56"/>
      <c r="M93" s="5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27.5" customHeight="1" x14ac:dyDescent="0.35">
      <c r="A94" s="13" t="s">
        <v>1368</v>
      </c>
      <c r="B94" s="188" t="s">
        <v>1397</v>
      </c>
      <c r="C94" s="1"/>
      <c r="D94" s="1"/>
      <c r="E94" s="1"/>
      <c r="F94" s="5" t="s">
        <v>1398</v>
      </c>
      <c r="G94" s="8">
        <v>224</v>
      </c>
      <c r="H94" s="1"/>
      <c r="I94" s="189" t="s">
        <v>1399</v>
      </c>
      <c r="J94" s="1"/>
      <c r="K94" s="1"/>
      <c r="L94" s="56"/>
      <c r="M94" s="5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27.5" customHeight="1" x14ac:dyDescent="0.35">
      <c r="A95" s="13" t="s">
        <v>1369</v>
      </c>
      <c r="B95" s="188"/>
      <c r="C95" s="1"/>
      <c r="D95" s="1"/>
      <c r="E95" s="1"/>
      <c r="F95" s="5"/>
      <c r="G95" s="8"/>
      <c r="H95" s="1"/>
      <c r="I95" s="189"/>
      <c r="J95" s="1"/>
      <c r="K95" s="1"/>
      <c r="L95" s="56"/>
      <c r="M95" s="56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27.5" customHeight="1" x14ac:dyDescent="0.35">
      <c r="A96" s="13" t="s">
        <v>1370</v>
      </c>
      <c r="B96" s="188"/>
      <c r="C96" s="1"/>
      <c r="D96" s="1"/>
      <c r="E96" s="1"/>
      <c r="F96" s="5"/>
      <c r="G96" s="8"/>
      <c r="H96" s="1"/>
      <c r="I96" s="189"/>
      <c r="J96" s="1"/>
      <c r="K96" s="1"/>
      <c r="L96" s="56"/>
      <c r="M96" s="5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27.5" customHeight="1" x14ac:dyDescent="0.35">
      <c r="A97" s="13" t="s">
        <v>1374</v>
      </c>
      <c r="B97" s="1"/>
      <c r="C97" s="1"/>
      <c r="D97" s="1"/>
      <c r="E97" s="1"/>
      <c r="F97" s="1"/>
      <c r="G97" s="8"/>
      <c r="H97" s="1"/>
      <c r="I97" s="1"/>
      <c r="J97" s="1"/>
      <c r="K97" s="1"/>
      <c r="L97" s="208"/>
      <c r="M97" s="20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26">
        <f t="shared" ref="AC97" si="3">+(L97+M97)-O97-R97-U97-X97-AA97</f>
        <v>0</v>
      </c>
      <c r="AD97" s="1"/>
    </row>
  </sheetData>
  <mergeCells count="19">
    <mergeCell ref="A1:AD1"/>
    <mergeCell ref="C3:E3"/>
    <mergeCell ref="AD3:AD4"/>
    <mergeCell ref="AC3:AC4"/>
    <mergeCell ref="G3:G4"/>
    <mergeCell ref="A3:A4"/>
    <mergeCell ref="K3:K4"/>
    <mergeCell ref="F3:F4"/>
    <mergeCell ref="B3:B4"/>
    <mergeCell ref="W3:Y3"/>
    <mergeCell ref="N3:P3"/>
    <mergeCell ref="Q3:S3"/>
    <mergeCell ref="M3:M4"/>
    <mergeCell ref="T3:V3"/>
    <mergeCell ref="Z3:AB3"/>
    <mergeCell ref="L3:L4"/>
    <mergeCell ref="H3:H4"/>
    <mergeCell ref="I3:I4"/>
    <mergeCell ref="J3:J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BCE3"/>
  </sheetPr>
  <dimension ref="A1:AD284"/>
  <sheetViews>
    <sheetView tabSelected="1" topLeftCell="A142" zoomScale="51" zoomScaleNormal="51" workbookViewId="0">
      <selection activeCell="F150" sqref="F150"/>
    </sheetView>
  </sheetViews>
  <sheetFormatPr baseColWidth="10" defaultColWidth="8.81640625" defaultRowHeight="14.5" x14ac:dyDescent="0.35"/>
  <cols>
    <col min="2" max="2" width="48.1796875" customWidth="1"/>
    <col min="3" max="5" width="13.81640625" customWidth="1"/>
    <col min="6" max="6" width="33.1796875" customWidth="1"/>
    <col min="7" max="7" width="12.1796875" customWidth="1"/>
    <col min="8" max="8" width="34.54296875" customWidth="1"/>
    <col min="9" max="9" width="17.81640625" customWidth="1"/>
    <col min="10" max="10" width="13.81640625" customWidth="1"/>
    <col min="11" max="11" width="16.81640625" customWidth="1"/>
    <col min="12" max="12" width="14" style="57" customWidth="1"/>
    <col min="13" max="13" width="14" style="162" customWidth="1"/>
    <col min="14" max="14" width="14.54296875" customWidth="1"/>
    <col min="15" max="15" width="13.26953125" customWidth="1"/>
    <col min="16" max="16" width="13.453125" customWidth="1"/>
    <col min="17" max="17" width="13.1796875" customWidth="1"/>
    <col min="18" max="18" width="10.1796875" customWidth="1"/>
    <col min="19" max="19" width="14.453125" customWidth="1"/>
    <col min="20" max="22" width="15.54296875" customWidth="1"/>
    <col min="23" max="23" width="13.1796875" customWidth="1"/>
    <col min="24" max="24" width="10.81640625" customWidth="1"/>
    <col min="25" max="25" width="13.54296875" customWidth="1"/>
    <col min="26" max="26" width="14.54296875" customWidth="1"/>
    <col min="27" max="27" width="10.453125" customWidth="1"/>
    <col min="28" max="28" width="10.81640625" customWidth="1"/>
    <col min="29" max="29" width="11.1796875" customWidth="1"/>
  </cols>
  <sheetData>
    <row r="1" spans="1:30" ht="10" customHeight="1" x14ac:dyDescent="0.35">
      <c r="L1"/>
    </row>
    <row r="2" spans="1:30" ht="20.149999999999999" customHeight="1" x14ac:dyDescent="0.35">
      <c r="A2" s="220" t="s">
        <v>0</v>
      </c>
      <c r="B2" s="220" t="s">
        <v>1044</v>
      </c>
      <c r="C2" s="221" t="s">
        <v>22</v>
      </c>
      <c r="D2" s="222"/>
      <c r="E2" s="223"/>
      <c r="F2" s="220" t="s">
        <v>2</v>
      </c>
      <c r="G2" s="220" t="s">
        <v>3</v>
      </c>
      <c r="H2" s="220" t="s">
        <v>5</v>
      </c>
      <c r="I2" s="220" t="s">
        <v>4</v>
      </c>
      <c r="J2" s="220" t="s">
        <v>6</v>
      </c>
      <c r="K2" s="220" t="s">
        <v>25</v>
      </c>
      <c r="L2" s="220" t="s">
        <v>1260</v>
      </c>
      <c r="M2" s="220" t="s">
        <v>1261</v>
      </c>
      <c r="N2" s="221" t="s">
        <v>7</v>
      </c>
      <c r="O2" s="222"/>
      <c r="P2" s="223"/>
      <c r="Q2" s="221" t="s">
        <v>8</v>
      </c>
      <c r="R2" s="222"/>
      <c r="S2" s="223"/>
      <c r="T2" s="221" t="s">
        <v>9</v>
      </c>
      <c r="U2" s="222"/>
      <c r="V2" s="223"/>
      <c r="W2" s="221" t="s">
        <v>10</v>
      </c>
      <c r="X2" s="222"/>
      <c r="Y2" s="223"/>
      <c r="Z2" s="221" t="s">
        <v>13</v>
      </c>
      <c r="AA2" s="222"/>
      <c r="AB2" s="223"/>
      <c r="AC2" s="220" t="s">
        <v>14</v>
      </c>
      <c r="AD2" s="220" t="s">
        <v>109</v>
      </c>
    </row>
    <row r="3" spans="1:30" ht="21" customHeight="1" x14ac:dyDescent="0.35">
      <c r="A3" s="220"/>
      <c r="B3" s="220"/>
      <c r="C3" s="14" t="s">
        <v>23</v>
      </c>
      <c r="D3" s="14" t="s">
        <v>24</v>
      </c>
      <c r="E3" s="14" t="s">
        <v>1026</v>
      </c>
      <c r="F3" s="220"/>
      <c r="G3" s="220"/>
      <c r="H3" s="220"/>
      <c r="I3" s="220"/>
      <c r="J3" s="220"/>
      <c r="K3" s="220"/>
      <c r="L3" s="220"/>
      <c r="M3" s="220"/>
      <c r="N3" s="14" t="s">
        <v>1</v>
      </c>
      <c r="O3" s="14" t="s">
        <v>11</v>
      </c>
      <c r="P3" s="14" t="s">
        <v>12</v>
      </c>
      <c r="Q3" s="14" t="s">
        <v>1</v>
      </c>
      <c r="R3" s="14" t="s">
        <v>11</v>
      </c>
      <c r="S3" s="14" t="s">
        <v>12</v>
      </c>
      <c r="T3" s="14" t="s">
        <v>1</v>
      </c>
      <c r="U3" s="14" t="s">
        <v>11</v>
      </c>
      <c r="V3" s="14" t="s">
        <v>12</v>
      </c>
      <c r="W3" s="14" t="s">
        <v>1</v>
      </c>
      <c r="X3" s="14" t="s">
        <v>11</v>
      </c>
      <c r="Y3" s="14" t="s">
        <v>12</v>
      </c>
      <c r="Z3" s="14" t="s">
        <v>1</v>
      </c>
      <c r="AA3" s="14" t="s">
        <v>11</v>
      </c>
      <c r="AB3" s="14" t="s">
        <v>12</v>
      </c>
      <c r="AC3" s="220"/>
      <c r="AD3" s="220"/>
    </row>
    <row r="4" spans="1:30" s="69" customFormat="1" ht="45" customHeight="1" x14ac:dyDescent="0.35">
      <c r="A4" s="15" t="s">
        <v>50</v>
      </c>
      <c r="B4" s="89" t="s">
        <v>110</v>
      </c>
      <c r="C4" s="90" t="s">
        <v>372</v>
      </c>
      <c r="D4" s="28">
        <v>45820</v>
      </c>
      <c r="E4" s="91"/>
      <c r="F4" s="8"/>
      <c r="G4" s="8"/>
      <c r="H4" s="8"/>
      <c r="I4" s="8"/>
      <c r="J4" s="8"/>
      <c r="K4" s="8"/>
      <c r="L4" s="104"/>
      <c r="M4" s="163"/>
      <c r="N4" s="8"/>
      <c r="O4" s="8"/>
      <c r="P4" s="8"/>
      <c r="Q4" s="8"/>
      <c r="R4" s="8"/>
      <c r="S4" s="8"/>
      <c r="T4" s="8"/>
      <c r="U4" s="8"/>
      <c r="V4" s="8"/>
      <c r="W4" s="68"/>
      <c r="X4" s="68"/>
      <c r="Y4" s="68"/>
      <c r="Z4" s="68"/>
      <c r="AA4" s="7"/>
      <c r="AB4" s="68"/>
      <c r="AC4" s="7">
        <f>+(L4+M4)-O4-R4-U4-X4-AA4</f>
        <v>0</v>
      </c>
      <c r="AD4" s="5"/>
    </row>
    <row r="5" spans="1:30" s="69" customFormat="1" ht="45" customHeight="1" x14ac:dyDescent="0.35">
      <c r="A5" s="15" t="s">
        <v>51</v>
      </c>
      <c r="B5" s="92" t="s">
        <v>111</v>
      </c>
      <c r="C5" s="93"/>
      <c r="D5" s="27"/>
      <c r="E5" s="94"/>
      <c r="F5" s="11"/>
      <c r="G5" s="11"/>
      <c r="H5" s="11"/>
      <c r="I5" s="11"/>
      <c r="J5" s="11"/>
      <c r="K5" s="11"/>
      <c r="L5" s="60"/>
      <c r="M5" s="164"/>
      <c r="N5" s="11"/>
      <c r="O5" s="11"/>
      <c r="P5" s="11"/>
      <c r="Q5" s="11"/>
      <c r="R5" s="11"/>
      <c r="S5" s="11"/>
      <c r="T5" s="11"/>
      <c r="U5" s="11"/>
      <c r="V5" s="11"/>
      <c r="W5" s="5"/>
      <c r="X5" s="5"/>
      <c r="Y5" s="5"/>
      <c r="Z5" s="5"/>
      <c r="AA5" s="7"/>
      <c r="AB5" s="5"/>
      <c r="AC5" s="7">
        <f t="shared" ref="AC5:AC68" si="0">+(L5+M5)-O5-R5-U5-X5-AA5</f>
        <v>0</v>
      </c>
      <c r="AD5" s="5"/>
    </row>
    <row r="6" spans="1:30" s="69" customFormat="1" ht="45" customHeight="1" x14ac:dyDescent="0.35">
      <c r="A6" s="15" t="s">
        <v>52</v>
      </c>
      <c r="B6" s="92" t="s">
        <v>112</v>
      </c>
      <c r="C6" s="93"/>
      <c r="D6" s="27"/>
      <c r="E6" s="94"/>
      <c r="F6" s="8"/>
      <c r="G6" s="8"/>
      <c r="H6" s="8"/>
      <c r="I6" s="8"/>
      <c r="J6" s="8"/>
      <c r="K6" s="8"/>
      <c r="L6" s="55"/>
      <c r="M6" s="165"/>
      <c r="N6" s="5"/>
      <c r="O6" s="7"/>
      <c r="P6" s="5"/>
      <c r="Q6" s="5"/>
      <c r="R6" s="7"/>
      <c r="S6" s="5"/>
      <c r="T6" s="5"/>
      <c r="U6" s="5"/>
      <c r="V6" s="5"/>
      <c r="W6" s="5"/>
      <c r="X6" s="5"/>
      <c r="Y6" s="5"/>
      <c r="Z6" s="5"/>
      <c r="AA6" s="7"/>
      <c r="AB6" s="5"/>
      <c r="AC6" s="7">
        <f t="shared" si="0"/>
        <v>0</v>
      </c>
      <c r="AD6" s="5"/>
    </row>
    <row r="7" spans="1:30" s="69" customFormat="1" ht="45" customHeight="1" x14ac:dyDescent="0.35">
      <c r="A7" s="15" t="s">
        <v>53</v>
      </c>
      <c r="B7" s="89" t="s">
        <v>113</v>
      </c>
      <c r="C7" s="90" t="s">
        <v>373</v>
      </c>
      <c r="D7" s="28">
        <v>45677</v>
      </c>
      <c r="E7" s="91"/>
      <c r="F7" s="8"/>
      <c r="G7" s="8"/>
      <c r="H7" s="8"/>
      <c r="I7" s="8"/>
      <c r="J7" s="8"/>
      <c r="K7" s="8"/>
      <c r="L7" s="55"/>
      <c r="M7" s="165"/>
      <c r="N7" s="5"/>
      <c r="O7" s="7"/>
      <c r="P7" s="5"/>
      <c r="Q7" s="5"/>
      <c r="R7" s="7"/>
      <c r="S7" s="5"/>
      <c r="T7" s="5"/>
      <c r="U7" s="5"/>
      <c r="V7" s="5"/>
      <c r="W7" s="5"/>
      <c r="X7" s="5"/>
      <c r="Y7" s="5"/>
      <c r="Z7" s="5"/>
      <c r="AA7" s="7"/>
      <c r="AB7" s="5"/>
      <c r="AC7" s="7">
        <f t="shared" si="0"/>
        <v>0</v>
      </c>
      <c r="AD7" s="5"/>
    </row>
    <row r="8" spans="1:30" s="69" customFormat="1" ht="45" customHeight="1" x14ac:dyDescent="0.35">
      <c r="A8" s="15" t="s">
        <v>54</v>
      </c>
      <c r="B8" s="89" t="s">
        <v>114</v>
      </c>
      <c r="C8" s="90" t="s">
        <v>374</v>
      </c>
      <c r="D8" s="28"/>
      <c r="E8" s="91"/>
      <c r="F8" s="8"/>
      <c r="G8" s="8"/>
      <c r="H8" s="8"/>
      <c r="I8" s="8"/>
      <c r="J8" s="8"/>
      <c r="K8" s="8"/>
      <c r="L8" s="55"/>
      <c r="M8" s="165"/>
      <c r="N8" s="5"/>
      <c r="O8" s="7"/>
      <c r="P8" s="5"/>
      <c r="Q8" s="5"/>
      <c r="R8" s="7"/>
      <c r="S8" s="5"/>
      <c r="T8" s="5"/>
      <c r="U8" s="5"/>
      <c r="V8" s="5"/>
      <c r="W8" s="5"/>
      <c r="X8" s="5"/>
      <c r="Y8" s="5"/>
      <c r="Z8" s="5"/>
      <c r="AA8" s="7"/>
      <c r="AB8" s="5"/>
      <c r="AC8" s="7">
        <f t="shared" si="0"/>
        <v>0</v>
      </c>
      <c r="AD8" s="5"/>
    </row>
    <row r="9" spans="1:30" s="69" customFormat="1" ht="45" customHeight="1" x14ac:dyDescent="0.35">
      <c r="A9" s="15" t="s">
        <v>55</v>
      </c>
      <c r="B9" s="92" t="s">
        <v>115</v>
      </c>
      <c r="C9" s="90" t="s">
        <v>375</v>
      </c>
      <c r="D9" s="28">
        <v>45818</v>
      </c>
      <c r="E9" s="96">
        <v>45988</v>
      </c>
      <c r="F9" s="8"/>
      <c r="G9" s="8"/>
      <c r="H9" s="8"/>
      <c r="I9" s="8"/>
      <c r="J9" s="8"/>
      <c r="K9" s="8"/>
      <c r="L9" s="55"/>
      <c r="M9" s="165"/>
      <c r="N9" s="5"/>
      <c r="O9" s="7"/>
      <c r="P9" s="5"/>
      <c r="Q9" s="5"/>
      <c r="R9" s="7"/>
      <c r="S9" s="5"/>
      <c r="T9" s="5"/>
      <c r="U9" s="5"/>
      <c r="V9" s="5"/>
      <c r="W9" s="5"/>
      <c r="X9" s="5"/>
      <c r="Y9" s="5"/>
      <c r="Z9" s="5"/>
      <c r="AA9" s="7"/>
      <c r="AB9" s="5"/>
      <c r="AC9" s="7">
        <f t="shared" si="0"/>
        <v>0</v>
      </c>
      <c r="AD9" s="5"/>
    </row>
    <row r="10" spans="1:30" s="69" customFormat="1" ht="45" customHeight="1" x14ac:dyDescent="0.35">
      <c r="A10" s="15" t="s">
        <v>56</v>
      </c>
      <c r="B10" s="92" t="s">
        <v>116</v>
      </c>
      <c r="C10" s="90"/>
      <c r="D10" s="28"/>
      <c r="E10" s="91"/>
      <c r="F10" s="8"/>
      <c r="G10" s="8"/>
      <c r="H10" s="8"/>
      <c r="I10" s="8"/>
      <c r="J10" s="8"/>
      <c r="K10" s="8"/>
      <c r="L10" s="55"/>
      <c r="M10" s="165"/>
      <c r="N10" s="5"/>
      <c r="O10" s="7"/>
      <c r="P10" s="5"/>
      <c r="Q10" s="5"/>
      <c r="R10" s="7"/>
      <c r="S10" s="5"/>
      <c r="T10" s="5"/>
      <c r="U10" s="5"/>
      <c r="V10" s="5"/>
      <c r="W10" s="5"/>
      <c r="X10" s="5"/>
      <c r="Y10" s="5"/>
      <c r="Z10" s="5"/>
      <c r="AA10" s="7"/>
      <c r="AB10" s="5"/>
      <c r="AC10" s="7">
        <f t="shared" si="0"/>
        <v>0</v>
      </c>
      <c r="AD10" s="5"/>
    </row>
    <row r="11" spans="1:30" s="69" customFormat="1" ht="45" customHeight="1" x14ac:dyDescent="0.35">
      <c r="A11" s="15" t="s">
        <v>57</v>
      </c>
      <c r="B11" s="89" t="s">
        <v>117</v>
      </c>
      <c r="C11" s="90" t="s">
        <v>376</v>
      </c>
      <c r="D11" s="28">
        <v>45846</v>
      </c>
      <c r="E11" s="91"/>
      <c r="F11" s="8"/>
      <c r="G11" s="8"/>
      <c r="H11" s="8"/>
      <c r="I11" s="8"/>
      <c r="J11" s="8"/>
      <c r="K11" s="8"/>
      <c r="L11" s="55"/>
      <c r="M11" s="165"/>
      <c r="N11" s="5"/>
      <c r="O11" s="7"/>
      <c r="P11" s="5"/>
      <c r="Q11" s="5"/>
      <c r="R11" s="7"/>
      <c r="S11" s="5"/>
      <c r="T11" s="5"/>
      <c r="U11" s="5"/>
      <c r="V11" s="5"/>
      <c r="W11" s="5"/>
      <c r="X11" s="5"/>
      <c r="Y11" s="5"/>
      <c r="Z11" s="5"/>
      <c r="AA11" s="7"/>
      <c r="AB11" s="5"/>
      <c r="AC11" s="7">
        <f t="shared" si="0"/>
        <v>0</v>
      </c>
      <c r="AD11" s="5"/>
    </row>
    <row r="12" spans="1:30" s="69" customFormat="1" ht="110.15" customHeight="1" x14ac:dyDescent="0.35">
      <c r="A12" s="15" t="s">
        <v>58</v>
      </c>
      <c r="B12" s="89" t="s">
        <v>118</v>
      </c>
      <c r="C12" s="90" t="s">
        <v>377</v>
      </c>
      <c r="D12" s="28">
        <v>45989</v>
      </c>
      <c r="E12" s="96">
        <v>45997</v>
      </c>
      <c r="F12" s="105" t="s">
        <v>1094</v>
      </c>
      <c r="G12" s="8"/>
      <c r="H12" s="8"/>
      <c r="I12" s="8"/>
      <c r="J12" s="8"/>
      <c r="K12" s="8"/>
      <c r="L12" s="55">
        <v>27458</v>
      </c>
      <c r="M12" s="165"/>
      <c r="N12" s="58">
        <v>45573</v>
      </c>
      <c r="O12" s="7">
        <v>8000</v>
      </c>
      <c r="P12" s="8" t="s">
        <v>19</v>
      </c>
      <c r="Q12" s="58">
        <v>45755</v>
      </c>
      <c r="R12" s="7">
        <v>3000</v>
      </c>
      <c r="S12" s="8" t="s">
        <v>19</v>
      </c>
      <c r="T12" s="58">
        <v>45793</v>
      </c>
      <c r="U12" s="7">
        <v>3000</v>
      </c>
      <c r="V12" s="8" t="s">
        <v>19</v>
      </c>
      <c r="W12" s="58">
        <v>45821</v>
      </c>
      <c r="X12" s="7">
        <v>4000</v>
      </c>
      <c r="Y12" s="8" t="s">
        <v>19</v>
      </c>
      <c r="Z12" s="58">
        <v>45828</v>
      </c>
      <c r="AA12" s="7">
        <v>5000</v>
      </c>
      <c r="AB12" s="8" t="s">
        <v>19</v>
      </c>
      <c r="AC12" s="7">
        <f t="shared" si="0"/>
        <v>4458</v>
      </c>
      <c r="AD12" s="8"/>
    </row>
    <row r="13" spans="1:30" s="69" customFormat="1" ht="45" customHeight="1" x14ac:dyDescent="0.35">
      <c r="A13" s="15" t="s">
        <v>59</v>
      </c>
      <c r="B13" s="89" t="s">
        <v>119</v>
      </c>
      <c r="C13" s="90" t="s">
        <v>378</v>
      </c>
      <c r="D13" s="28">
        <v>45833</v>
      </c>
      <c r="E13" s="91"/>
      <c r="F13" s="8"/>
      <c r="G13" s="8"/>
      <c r="H13" s="8"/>
      <c r="I13" s="8"/>
      <c r="J13" s="8"/>
      <c r="K13" s="8"/>
      <c r="L13" s="55"/>
      <c r="M13" s="165"/>
      <c r="N13" s="5"/>
      <c r="O13" s="7"/>
      <c r="P13" s="5"/>
      <c r="Q13" s="5"/>
      <c r="R13" s="7"/>
      <c r="S13" s="5"/>
      <c r="T13" s="5"/>
      <c r="U13" s="5"/>
      <c r="V13" s="5"/>
      <c r="W13" s="5"/>
      <c r="X13" s="5"/>
      <c r="Y13" s="5"/>
      <c r="Z13" s="5"/>
      <c r="AA13" s="7"/>
      <c r="AB13" s="5"/>
      <c r="AC13" s="7">
        <f t="shared" si="0"/>
        <v>0</v>
      </c>
      <c r="AD13" s="5"/>
    </row>
    <row r="14" spans="1:30" s="69" customFormat="1" ht="92.5" customHeight="1" x14ac:dyDescent="0.35">
      <c r="A14" s="15" t="s">
        <v>60</v>
      </c>
      <c r="B14" s="89" t="s">
        <v>1092</v>
      </c>
      <c r="C14" s="90" t="s">
        <v>379</v>
      </c>
      <c r="D14" s="28">
        <v>45832</v>
      </c>
      <c r="E14" s="91"/>
      <c r="F14" s="105" t="s">
        <v>1049</v>
      </c>
      <c r="G14" s="8"/>
      <c r="H14" s="8"/>
      <c r="I14" s="8"/>
      <c r="J14" s="8"/>
      <c r="K14" s="8"/>
      <c r="L14" s="55">
        <v>70900</v>
      </c>
      <c r="M14" s="165"/>
      <c r="N14" s="59">
        <v>45839</v>
      </c>
      <c r="O14" s="5">
        <v>15000</v>
      </c>
      <c r="P14" s="5" t="s">
        <v>1029</v>
      </c>
      <c r="Q14" s="59">
        <v>45855</v>
      </c>
      <c r="R14" s="5">
        <v>15000</v>
      </c>
      <c r="S14" s="5" t="s">
        <v>18</v>
      </c>
      <c r="T14" s="59">
        <v>46027</v>
      </c>
      <c r="U14" s="5">
        <v>20000</v>
      </c>
      <c r="V14" s="5" t="s">
        <v>18</v>
      </c>
      <c r="W14" s="133">
        <v>46134</v>
      </c>
      <c r="X14" s="86">
        <v>8900</v>
      </c>
      <c r="Y14" s="134" t="s">
        <v>1029</v>
      </c>
      <c r="Z14" s="5"/>
      <c r="AA14" s="5"/>
      <c r="AB14" s="5"/>
      <c r="AC14" s="7">
        <f t="shared" si="0"/>
        <v>12000</v>
      </c>
      <c r="AD14" s="5"/>
    </row>
    <row r="15" spans="1:30" s="69" customFormat="1" ht="45" customHeight="1" x14ac:dyDescent="0.35">
      <c r="A15" s="15" t="s">
        <v>61</v>
      </c>
      <c r="B15" s="89" t="s">
        <v>120</v>
      </c>
      <c r="C15" s="90" t="s">
        <v>380</v>
      </c>
      <c r="D15" s="28">
        <v>45789</v>
      </c>
      <c r="E15" s="91"/>
      <c r="F15" s="8"/>
      <c r="G15" s="8"/>
      <c r="H15" s="8"/>
      <c r="I15" s="8"/>
      <c r="J15" s="8"/>
      <c r="K15" s="8"/>
      <c r="L15" s="55"/>
      <c r="M15" s="165"/>
      <c r="N15" s="5"/>
      <c r="O15" s="7"/>
      <c r="P15" s="5"/>
      <c r="Q15" s="5"/>
      <c r="R15" s="7"/>
      <c r="S15" s="5"/>
      <c r="T15" s="5"/>
      <c r="U15" s="5"/>
      <c r="V15" s="5"/>
      <c r="W15" s="5"/>
      <c r="X15" s="5"/>
      <c r="Y15" s="5"/>
      <c r="Z15" s="5"/>
      <c r="AA15" s="7"/>
      <c r="AB15" s="5"/>
      <c r="AC15" s="7">
        <f t="shared" si="0"/>
        <v>0</v>
      </c>
      <c r="AD15" s="5"/>
    </row>
    <row r="16" spans="1:30" s="69" customFormat="1" ht="45" customHeight="1" x14ac:dyDescent="0.35">
      <c r="A16" s="15" t="s">
        <v>62</v>
      </c>
      <c r="B16" s="97" t="s">
        <v>121</v>
      </c>
      <c r="C16" s="90" t="s">
        <v>381</v>
      </c>
      <c r="D16" s="28">
        <v>45789</v>
      </c>
      <c r="E16" s="91"/>
      <c r="F16" s="8"/>
      <c r="G16" s="8"/>
      <c r="H16" s="8"/>
      <c r="I16" s="8"/>
      <c r="J16" s="8"/>
      <c r="K16" s="8"/>
      <c r="L16" s="55"/>
      <c r="M16" s="165"/>
      <c r="N16" s="5"/>
      <c r="O16" s="7"/>
      <c r="P16" s="5"/>
      <c r="Q16" s="5"/>
      <c r="R16" s="7"/>
      <c r="S16" s="5"/>
      <c r="T16" s="5"/>
      <c r="U16" s="5"/>
      <c r="V16" s="5"/>
      <c r="W16" s="5"/>
      <c r="X16" s="5"/>
      <c r="Y16" s="5"/>
      <c r="Z16" s="5"/>
      <c r="AA16" s="7"/>
      <c r="AB16" s="5"/>
      <c r="AC16" s="7">
        <f t="shared" si="0"/>
        <v>0</v>
      </c>
      <c r="AD16" s="5"/>
    </row>
    <row r="17" spans="1:30" s="69" customFormat="1" ht="45" customHeight="1" x14ac:dyDescent="0.35">
      <c r="A17" s="15" t="s">
        <v>63</v>
      </c>
      <c r="B17" s="97" t="s">
        <v>122</v>
      </c>
      <c r="C17" s="90" t="s">
        <v>382</v>
      </c>
      <c r="D17" s="28">
        <v>45834</v>
      </c>
      <c r="E17" s="91"/>
      <c r="F17" s="8"/>
      <c r="G17" s="8"/>
      <c r="H17" s="8"/>
      <c r="I17" s="8"/>
      <c r="J17" s="8"/>
      <c r="K17" s="8"/>
      <c r="L17" s="55"/>
      <c r="M17" s="165"/>
      <c r="N17" s="5"/>
      <c r="O17" s="7"/>
      <c r="P17" s="5"/>
      <c r="Q17" s="5"/>
      <c r="R17" s="7"/>
      <c r="S17" s="5"/>
      <c r="T17" s="5"/>
      <c r="U17" s="5"/>
      <c r="V17" s="5"/>
      <c r="W17" s="5"/>
      <c r="X17" s="5"/>
      <c r="Y17" s="5"/>
      <c r="Z17" s="5"/>
      <c r="AA17" s="7"/>
      <c r="AB17" s="5"/>
      <c r="AC17" s="7">
        <f t="shared" si="0"/>
        <v>0</v>
      </c>
      <c r="AD17" s="5"/>
    </row>
    <row r="18" spans="1:30" s="69" customFormat="1" ht="45" customHeight="1" x14ac:dyDescent="0.35">
      <c r="A18" s="15" t="s">
        <v>64</v>
      </c>
      <c r="B18" s="97" t="s">
        <v>123</v>
      </c>
      <c r="C18" s="90" t="s">
        <v>383</v>
      </c>
      <c r="D18" s="28">
        <v>45740</v>
      </c>
      <c r="E18" s="91"/>
      <c r="F18" s="8"/>
      <c r="G18" s="8"/>
      <c r="H18" s="8"/>
      <c r="I18" s="8"/>
      <c r="J18" s="8"/>
      <c r="K18" s="8"/>
      <c r="L18" s="55"/>
      <c r="M18" s="165"/>
      <c r="N18" s="5"/>
      <c r="O18" s="7"/>
      <c r="P18" s="5"/>
      <c r="Q18" s="5"/>
      <c r="R18" s="7"/>
      <c r="S18" s="5"/>
      <c r="T18" s="5"/>
      <c r="U18" s="5"/>
      <c r="V18" s="5"/>
      <c r="W18" s="5"/>
      <c r="X18" s="5"/>
      <c r="Y18" s="5"/>
      <c r="Z18" s="5"/>
      <c r="AA18" s="7"/>
      <c r="AB18" s="5"/>
      <c r="AC18" s="7">
        <f t="shared" si="0"/>
        <v>0</v>
      </c>
      <c r="AD18" s="5"/>
    </row>
    <row r="19" spans="1:30" s="69" customFormat="1" ht="45" customHeight="1" x14ac:dyDescent="0.35">
      <c r="A19" s="15" t="s">
        <v>657</v>
      </c>
      <c r="B19" s="97" t="s">
        <v>124</v>
      </c>
      <c r="C19" s="90" t="s">
        <v>384</v>
      </c>
      <c r="D19" s="28">
        <v>45834</v>
      </c>
      <c r="E19" s="91"/>
      <c r="F19" s="8"/>
      <c r="G19" s="8"/>
      <c r="H19" s="8"/>
      <c r="I19" s="8"/>
      <c r="J19" s="8"/>
      <c r="K19" s="8"/>
      <c r="L19" s="104"/>
      <c r="M19" s="16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7">
        <f t="shared" si="0"/>
        <v>0</v>
      </c>
      <c r="AD19" s="5"/>
    </row>
    <row r="20" spans="1:30" s="69" customFormat="1" ht="45" customHeight="1" x14ac:dyDescent="0.35">
      <c r="A20" s="15" t="s">
        <v>658</v>
      </c>
      <c r="B20" s="99" t="s">
        <v>125</v>
      </c>
      <c r="C20" s="90" t="s">
        <v>385</v>
      </c>
      <c r="D20" s="28">
        <v>45811</v>
      </c>
      <c r="E20" s="96">
        <v>46214</v>
      </c>
      <c r="F20" s="8"/>
      <c r="G20" s="8"/>
      <c r="H20" s="8"/>
      <c r="I20" s="8"/>
      <c r="J20" s="8"/>
      <c r="K20" s="8"/>
      <c r="L20" s="104"/>
      <c r="M20" s="16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7">
        <f t="shared" si="0"/>
        <v>0</v>
      </c>
      <c r="AD20" s="5"/>
    </row>
    <row r="21" spans="1:30" s="69" customFormat="1" ht="45" customHeight="1" x14ac:dyDescent="0.35">
      <c r="A21" s="15" t="s">
        <v>659</v>
      </c>
      <c r="B21" s="97" t="s">
        <v>126</v>
      </c>
      <c r="C21" s="90" t="s">
        <v>386</v>
      </c>
      <c r="D21" s="28">
        <v>45831</v>
      </c>
      <c r="E21" s="91"/>
      <c r="F21" s="8"/>
      <c r="G21" s="8"/>
      <c r="H21" s="8"/>
      <c r="I21" s="8"/>
      <c r="J21" s="8"/>
      <c r="K21" s="8"/>
      <c r="L21" s="104"/>
      <c r="M21" s="16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7">
        <f t="shared" si="0"/>
        <v>0</v>
      </c>
      <c r="AD21" s="5"/>
    </row>
    <row r="22" spans="1:30" s="69" customFormat="1" ht="45" customHeight="1" x14ac:dyDescent="0.35">
      <c r="A22" s="15" t="s">
        <v>660</v>
      </c>
      <c r="B22" s="97" t="s">
        <v>127</v>
      </c>
      <c r="C22" s="90" t="s">
        <v>387</v>
      </c>
      <c r="D22" s="28">
        <v>45859</v>
      </c>
      <c r="E22" s="91"/>
      <c r="F22" s="8"/>
      <c r="G22" s="8"/>
      <c r="H22" s="8"/>
      <c r="I22" s="8"/>
      <c r="J22" s="8"/>
      <c r="K22" s="8"/>
      <c r="L22" s="104"/>
      <c r="M22" s="16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7">
        <f t="shared" si="0"/>
        <v>0</v>
      </c>
      <c r="AD22" s="5"/>
    </row>
    <row r="23" spans="1:30" s="69" customFormat="1" ht="45" customHeight="1" x14ac:dyDescent="0.35">
      <c r="A23" s="15" t="s">
        <v>661</v>
      </c>
      <c r="B23" s="97" t="s">
        <v>128</v>
      </c>
      <c r="C23" s="90" t="s">
        <v>388</v>
      </c>
      <c r="D23" s="28">
        <v>45791</v>
      </c>
      <c r="E23" s="91"/>
      <c r="F23" s="8"/>
      <c r="G23" s="8"/>
      <c r="H23" s="8"/>
      <c r="I23" s="8"/>
      <c r="J23" s="8"/>
      <c r="K23" s="8"/>
      <c r="L23" s="104"/>
      <c r="M23" s="16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7">
        <f t="shared" si="0"/>
        <v>0</v>
      </c>
      <c r="AD23" s="5"/>
    </row>
    <row r="24" spans="1:30" s="69" customFormat="1" ht="45" customHeight="1" x14ac:dyDescent="0.35">
      <c r="A24" s="15" t="s">
        <v>662</v>
      </c>
      <c r="B24" s="97" t="s">
        <v>129</v>
      </c>
      <c r="C24" s="90" t="s">
        <v>389</v>
      </c>
      <c r="D24" s="28">
        <v>45775</v>
      </c>
      <c r="E24" s="91"/>
      <c r="F24" s="8"/>
      <c r="G24" s="8"/>
      <c r="H24" s="8"/>
      <c r="I24" s="8"/>
      <c r="J24" s="8"/>
      <c r="K24" s="8"/>
      <c r="L24" s="104"/>
      <c r="M24" s="16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7">
        <f t="shared" si="0"/>
        <v>0</v>
      </c>
      <c r="AD24" s="5"/>
    </row>
    <row r="25" spans="1:30" s="69" customFormat="1" ht="45" customHeight="1" x14ac:dyDescent="0.35">
      <c r="A25" s="15" t="s">
        <v>663</v>
      </c>
      <c r="B25" s="97" t="s">
        <v>130</v>
      </c>
      <c r="C25" s="90" t="s">
        <v>390</v>
      </c>
      <c r="D25" s="28">
        <v>45631</v>
      </c>
      <c r="E25" s="91"/>
      <c r="F25" s="8"/>
      <c r="G25" s="8"/>
      <c r="H25" s="8"/>
      <c r="I25" s="8"/>
      <c r="J25" s="8"/>
      <c r="K25" s="8"/>
      <c r="L25" s="104"/>
      <c r="M25" s="16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7">
        <f t="shared" si="0"/>
        <v>0</v>
      </c>
      <c r="AD25" s="5"/>
    </row>
    <row r="26" spans="1:30" s="69" customFormat="1" ht="45" customHeight="1" x14ac:dyDescent="0.35">
      <c r="A26" s="15" t="s">
        <v>664</v>
      </c>
      <c r="B26" s="97" t="s">
        <v>131</v>
      </c>
      <c r="C26" s="90" t="s">
        <v>391</v>
      </c>
      <c r="D26" s="28">
        <v>45898</v>
      </c>
      <c r="E26" s="91"/>
      <c r="F26" s="8"/>
      <c r="G26" s="8"/>
      <c r="H26" s="8"/>
      <c r="I26" s="8"/>
      <c r="J26" s="8"/>
      <c r="K26" s="8"/>
      <c r="L26" s="104"/>
      <c r="M26" s="16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7">
        <f t="shared" si="0"/>
        <v>0</v>
      </c>
      <c r="AD26" s="5"/>
    </row>
    <row r="27" spans="1:30" s="69" customFormat="1" ht="45" customHeight="1" x14ac:dyDescent="0.35">
      <c r="A27" s="15" t="s">
        <v>665</v>
      </c>
      <c r="B27" s="97" t="s">
        <v>132</v>
      </c>
      <c r="C27" s="90" t="s">
        <v>392</v>
      </c>
      <c r="D27" s="28">
        <v>45870</v>
      </c>
      <c r="E27" s="91"/>
      <c r="F27" s="8"/>
      <c r="G27" s="8"/>
      <c r="H27" s="8"/>
      <c r="I27" s="8"/>
      <c r="J27" s="8"/>
      <c r="K27" s="8"/>
      <c r="L27" s="104"/>
      <c r="M27" s="16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7">
        <f t="shared" si="0"/>
        <v>0</v>
      </c>
      <c r="AD27" s="5"/>
    </row>
    <row r="28" spans="1:30" s="69" customFormat="1" ht="45" customHeight="1" x14ac:dyDescent="0.35">
      <c r="A28" s="15" t="s">
        <v>666</v>
      </c>
      <c r="B28" s="97" t="s">
        <v>133</v>
      </c>
      <c r="C28" s="90" t="s">
        <v>393</v>
      </c>
      <c r="D28" s="28">
        <v>45881</v>
      </c>
      <c r="E28" s="91"/>
      <c r="F28" s="8"/>
      <c r="G28" s="8"/>
      <c r="H28" s="8"/>
      <c r="I28" s="8"/>
      <c r="J28" s="8"/>
      <c r="K28" s="8"/>
      <c r="L28" s="104"/>
      <c r="M28" s="16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7">
        <f t="shared" si="0"/>
        <v>0</v>
      </c>
      <c r="AD28" s="5"/>
    </row>
    <row r="29" spans="1:30" s="69" customFormat="1" ht="45" customHeight="1" x14ac:dyDescent="0.35">
      <c r="A29" s="15" t="s">
        <v>667</v>
      </c>
      <c r="B29" s="100" t="s">
        <v>134</v>
      </c>
      <c r="C29" s="90"/>
      <c r="D29" s="28"/>
      <c r="E29" s="91"/>
      <c r="F29" s="8"/>
      <c r="G29" s="8"/>
      <c r="H29" s="8"/>
      <c r="I29" s="8"/>
      <c r="J29" s="8"/>
      <c r="K29" s="8"/>
      <c r="L29" s="104"/>
      <c r="M29" s="16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7">
        <f t="shared" si="0"/>
        <v>0</v>
      </c>
      <c r="AD29" s="5"/>
    </row>
    <row r="30" spans="1:30" s="69" customFormat="1" ht="45" customHeight="1" x14ac:dyDescent="0.35">
      <c r="A30" s="15" t="s">
        <v>668</v>
      </c>
      <c r="B30" s="97" t="s">
        <v>135</v>
      </c>
      <c r="C30" s="90" t="s">
        <v>394</v>
      </c>
      <c r="D30" s="28">
        <v>45817</v>
      </c>
      <c r="E30" s="91"/>
      <c r="F30" s="11" t="s">
        <v>1196</v>
      </c>
      <c r="G30" s="8">
        <v>40</v>
      </c>
      <c r="H30" s="8" t="s">
        <v>1197</v>
      </c>
      <c r="I30" s="8"/>
      <c r="J30" s="8"/>
      <c r="K30" s="8"/>
      <c r="L30" s="104"/>
      <c r="M30" s="16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7">
        <f t="shared" si="0"/>
        <v>0</v>
      </c>
      <c r="AD30" s="5"/>
    </row>
    <row r="31" spans="1:30" s="69" customFormat="1" ht="45" customHeight="1" x14ac:dyDescent="0.35">
      <c r="A31" s="15" t="s">
        <v>669</v>
      </c>
      <c r="B31" s="97" t="s">
        <v>136</v>
      </c>
      <c r="C31" s="90" t="s">
        <v>395</v>
      </c>
      <c r="D31" s="28">
        <v>45817</v>
      </c>
      <c r="E31" s="96">
        <v>46109</v>
      </c>
      <c r="F31" s="8" t="s">
        <v>1208</v>
      </c>
      <c r="G31" s="8">
        <v>60</v>
      </c>
      <c r="H31" s="8" t="s">
        <v>1209</v>
      </c>
      <c r="I31" s="8"/>
      <c r="J31" s="8"/>
      <c r="K31" s="8"/>
      <c r="L31" s="104"/>
      <c r="M31" s="16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7">
        <f t="shared" si="0"/>
        <v>0</v>
      </c>
      <c r="AD31" s="5"/>
    </row>
    <row r="32" spans="1:30" s="69" customFormat="1" ht="45" customHeight="1" x14ac:dyDescent="0.35">
      <c r="A32" s="15" t="s">
        <v>670</v>
      </c>
      <c r="B32" s="97" t="s">
        <v>137</v>
      </c>
      <c r="C32" s="90" t="s">
        <v>396</v>
      </c>
      <c r="D32" s="28">
        <v>45930</v>
      </c>
      <c r="E32" s="91"/>
      <c r="F32" s="8"/>
      <c r="G32" s="8"/>
      <c r="H32" s="8"/>
      <c r="I32" s="8"/>
      <c r="J32" s="8"/>
      <c r="K32" s="8"/>
      <c r="L32" s="104"/>
      <c r="M32" s="16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7">
        <f t="shared" si="0"/>
        <v>0</v>
      </c>
      <c r="AD32" s="5"/>
    </row>
    <row r="33" spans="1:30" s="69" customFormat="1" ht="45" customHeight="1" x14ac:dyDescent="0.35">
      <c r="A33" s="15" t="s">
        <v>671</v>
      </c>
      <c r="B33" s="97" t="s">
        <v>138</v>
      </c>
      <c r="C33" s="90" t="s">
        <v>397</v>
      </c>
      <c r="D33" s="28">
        <v>45917</v>
      </c>
      <c r="E33" s="91"/>
      <c r="F33" s="8"/>
      <c r="G33" s="8"/>
      <c r="H33" s="8"/>
      <c r="I33" s="8"/>
      <c r="J33" s="8"/>
      <c r="K33" s="8"/>
      <c r="L33" s="104"/>
      <c r="M33" s="16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7">
        <f t="shared" si="0"/>
        <v>0</v>
      </c>
      <c r="AD33" s="5"/>
    </row>
    <row r="34" spans="1:30" s="69" customFormat="1" ht="45" customHeight="1" x14ac:dyDescent="0.35">
      <c r="A34" s="15" t="s">
        <v>672</v>
      </c>
      <c r="B34" s="97" t="s">
        <v>139</v>
      </c>
      <c r="C34" s="90" t="s">
        <v>398</v>
      </c>
      <c r="D34" s="28">
        <v>45930</v>
      </c>
      <c r="E34" s="91"/>
      <c r="F34" s="8"/>
      <c r="G34" s="8"/>
      <c r="H34" s="8"/>
      <c r="I34" s="8"/>
      <c r="J34" s="8"/>
      <c r="K34" s="8"/>
      <c r="L34" s="104"/>
      <c r="M34" s="16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7">
        <f t="shared" si="0"/>
        <v>0</v>
      </c>
      <c r="AD34" s="5"/>
    </row>
    <row r="35" spans="1:30" s="69" customFormat="1" ht="45" customHeight="1" x14ac:dyDescent="0.35">
      <c r="A35" s="15" t="s">
        <v>673</v>
      </c>
      <c r="B35" s="97" t="s">
        <v>140</v>
      </c>
      <c r="C35" s="90" t="s">
        <v>399</v>
      </c>
      <c r="D35" s="28">
        <v>45933</v>
      </c>
      <c r="E35" s="91"/>
      <c r="F35" s="8"/>
      <c r="G35" s="8"/>
      <c r="H35" s="8"/>
      <c r="I35" s="8"/>
      <c r="J35" s="8"/>
      <c r="K35" s="8"/>
      <c r="L35" s="104"/>
      <c r="M35" s="16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7">
        <f t="shared" si="0"/>
        <v>0</v>
      </c>
      <c r="AD35" s="5"/>
    </row>
    <row r="36" spans="1:30" s="69" customFormat="1" ht="45" customHeight="1" x14ac:dyDescent="0.35">
      <c r="A36" s="15" t="s">
        <v>674</v>
      </c>
      <c r="B36" s="97" t="s">
        <v>141</v>
      </c>
      <c r="C36" s="90" t="s">
        <v>400</v>
      </c>
      <c r="D36" s="28">
        <v>45930</v>
      </c>
      <c r="E36" s="91"/>
      <c r="F36" s="8"/>
      <c r="G36" s="8"/>
      <c r="H36" s="8"/>
      <c r="I36" s="8"/>
      <c r="J36" s="8"/>
      <c r="K36" s="8"/>
      <c r="L36" s="104"/>
      <c r="M36" s="16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7">
        <f t="shared" si="0"/>
        <v>0</v>
      </c>
      <c r="AD36" s="5"/>
    </row>
    <row r="37" spans="1:30" s="69" customFormat="1" ht="45" customHeight="1" x14ac:dyDescent="0.35">
      <c r="A37" s="15" t="s">
        <v>675</v>
      </c>
      <c r="B37" s="99" t="s">
        <v>142</v>
      </c>
      <c r="C37" s="90" t="s">
        <v>401</v>
      </c>
      <c r="D37" s="28">
        <v>45930</v>
      </c>
      <c r="E37" s="91"/>
      <c r="F37" s="8"/>
      <c r="G37" s="8"/>
      <c r="H37" s="8"/>
      <c r="I37" s="8"/>
      <c r="J37" s="8"/>
      <c r="K37" s="8"/>
      <c r="L37" s="104"/>
      <c r="M37" s="16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7">
        <f t="shared" si="0"/>
        <v>0</v>
      </c>
      <c r="AD37" s="5"/>
    </row>
    <row r="38" spans="1:30" s="69" customFormat="1" ht="45" customHeight="1" x14ac:dyDescent="0.35">
      <c r="A38" s="15" t="s">
        <v>676</v>
      </c>
      <c r="B38" s="100" t="s">
        <v>143</v>
      </c>
      <c r="C38" s="90"/>
      <c r="D38" s="90"/>
      <c r="E38" s="91"/>
      <c r="F38" s="8"/>
      <c r="G38" s="8"/>
      <c r="H38" s="8"/>
      <c r="I38" s="8"/>
      <c r="J38" s="8"/>
      <c r="K38" s="8"/>
      <c r="L38" s="104"/>
      <c r="M38" s="16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7">
        <f t="shared" si="0"/>
        <v>0</v>
      </c>
      <c r="AD38" s="5"/>
    </row>
    <row r="39" spans="1:30" s="69" customFormat="1" ht="45" customHeight="1" x14ac:dyDescent="0.35">
      <c r="A39" s="15" t="s">
        <v>677</v>
      </c>
      <c r="B39" s="97" t="s">
        <v>144</v>
      </c>
      <c r="C39" s="90" t="s">
        <v>402</v>
      </c>
      <c r="D39" s="28">
        <v>45925</v>
      </c>
      <c r="E39" s="91"/>
      <c r="F39" s="8"/>
      <c r="G39" s="8"/>
      <c r="H39" s="8"/>
      <c r="I39" s="8"/>
      <c r="J39" s="8"/>
      <c r="K39" s="8"/>
      <c r="L39" s="104"/>
      <c r="M39" s="16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7">
        <f t="shared" si="0"/>
        <v>0</v>
      </c>
      <c r="AD39" s="5"/>
    </row>
    <row r="40" spans="1:30" s="69" customFormat="1" ht="45" customHeight="1" x14ac:dyDescent="0.35">
      <c r="A40" s="15" t="s">
        <v>678</v>
      </c>
      <c r="B40" s="97" t="s">
        <v>145</v>
      </c>
      <c r="C40" s="90" t="s">
        <v>403</v>
      </c>
      <c r="D40" s="28">
        <v>45910</v>
      </c>
      <c r="E40" s="91"/>
      <c r="F40" s="8"/>
      <c r="G40" s="8"/>
      <c r="H40" s="8"/>
      <c r="I40" s="8"/>
      <c r="J40" s="8"/>
      <c r="K40" s="8"/>
      <c r="L40" s="104"/>
      <c r="M40" s="16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7">
        <f t="shared" si="0"/>
        <v>0</v>
      </c>
      <c r="AD40" s="5"/>
    </row>
    <row r="41" spans="1:30" s="69" customFormat="1" ht="45" customHeight="1" x14ac:dyDescent="0.35">
      <c r="A41" s="15" t="s">
        <v>679</v>
      </c>
      <c r="B41" s="97" t="s">
        <v>146</v>
      </c>
      <c r="C41" s="90" t="s">
        <v>404</v>
      </c>
      <c r="D41" s="28">
        <v>45925</v>
      </c>
      <c r="E41" s="91"/>
      <c r="F41" s="8"/>
      <c r="G41" s="8"/>
      <c r="H41" s="8"/>
      <c r="I41" s="8"/>
      <c r="J41" s="8"/>
      <c r="K41" s="8"/>
      <c r="L41" s="104"/>
      <c r="M41" s="16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7">
        <f t="shared" si="0"/>
        <v>0</v>
      </c>
      <c r="AD41" s="5"/>
    </row>
    <row r="42" spans="1:30" s="69" customFormat="1" ht="45" customHeight="1" x14ac:dyDescent="0.35">
      <c r="A42" s="15" t="s">
        <v>680</v>
      </c>
      <c r="B42" s="100" t="s">
        <v>147</v>
      </c>
      <c r="C42" s="90"/>
      <c r="D42" s="90"/>
      <c r="E42" s="91"/>
      <c r="F42" s="8"/>
      <c r="G42" s="8"/>
      <c r="H42" s="8"/>
      <c r="I42" s="8"/>
      <c r="J42" s="8"/>
      <c r="K42" s="8"/>
      <c r="L42" s="104"/>
      <c r="M42" s="16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7">
        <f t="shared" si="0"/>
        <v>0</v>
      </c>
      <c r="AD42" s="5"/>
    </row>
    <row r="43" spans="1:30" s="69" customFormat="1" ht="45" customHeight="1" x14ac:dyDescent="0.35">
      <c r="A43" s="15" t="s">
        <v>681</v>
      </c>
      <c r="B43" s="97" t="s">
        <v>148</v>
      </c>
      <c r="C43" s="90" t="s">
        <v>405</v>
      </c>
      <c r="D43" s="28">
        <v>45925</v>
      </c>
      <c r="E43" s="91"/>
      <c r="F43" s="8"/>
      <c r="G43" s="8"/>
      <c r="H43" s="8"/>
      <c r="I43" s="8"/>
      <c r="J43" s="8"/>
      <c r="K43" s="8"/>
      <c r="L43" s="104"/>
      <c r="M43" s="16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7">
        <f t="shared" si="0"/>
        <v>0</v>
      </c>
      <c r="AD43" s="5"/>
    </row>
    <row r="44" spans="1:30" s="69" customFormat="1" ht="45" customHeight="1" x14ac:dyDescent="0.35">
      <c r="A44" s="15" t="s">
        <v>682</v>
      </c>
      <c r="B44" s="100" t="s">
        <v>149</v>
      </c>
      <c r="C44" s="90"/>
      <c r="D44" s="90"/>
      <c r="E44" s="91"/>
      <c r="F44" s="8"/>
      <c r="G44" s="8"/>
      <c r="H44" s="8"/>
      <c r="I44" s="8"/>
      <c r="J44" s="8"/>
      <c r="K44" s="8"/>
      <c r="L44" s="104"/>
      <c r="M44" s="16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7">
        <f t="shared" si="0"/>
        <v>0</v>
      </c>
      <c r="AD44" s="5"/>
    </row>
    <row r="45" spans="1:30" s="69" customFormat="1" ht="45" customHeight="1" x14ac:dyDescent="0.35">
      <c r="A45" s="15" t="s">
        <v>683</v>
      </c>
      <c r="B45" s="97" t="s">
        <v>150</v>
      </c>
      <c r="C45" s="90" t="s">
        <v>406</v>
      </c>
      <c r="D45" s="28">
        <v>45925</v>
      </c>
      <c r="E45" s="91"/>
      <c r="F45" s="8"/>
      <c r="G45" s="8"/>
      <c r="H45" s="8"/>
      <c r="I45" s="8"/>
      <c r="J45" s="8"/>
      <c r="K45" s="8"/>
      <c r="L45" s="104"/>
      <c r="M45" s="16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7">
        <f t="shared" si="0"/>
        <v>0</v>
      </c>
      <c r="AD45" s="5"/>
    </row>
    <row r="46" spans="1:30" s="69" customFormat="1" ht="45" customHeight="1" x14ac:dyDescent="0.35">
      <c r="A46" s="15" t="s">
        <v>684</v>
      </c>
      <c r="B46" s="97" t="s">
        <v>151</v>
      </c>
      <c r="C46" s="90" t="s">
        <v>407</v>
      </c>
      <c r="D46" s="28">
        <v>45925</v>
      </c>
      <c r="E46" s="91"/>
      <c r="F46" s="8"/>
      <c r="G46" s="8"/>
      <c r="H46" s="8"/>
      <c r="I46" s="8"/>
      <c r="J46" s="8"/>
      <c r="K46" s="8"/>
      <c r="L46" s="104"/>
      <c r="M46" s="16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7">
        <f t="shared" si="0"/>
        <v>0</v>
      </c>
      <c r="AD46" s="5"/>
    </row>
    <row r="47" spans="1:30" s="69" customFormat="1" ht="45" customHeight="1" x14ac:dyDescent="0.35">
      <c r="A47" s="15" t="s">
        <v>685</v>
      </c>
      <c r="B47" s="97" t="s">
        <v>152</v>
      </c>
      <c r="C47" s="90" t="s">
        <v>408</v>
      </c>
      <c r="D47" s="28">
        <v>45831</v>
      </c>
      <c r="E47" s="96">
        <v>45988</v>
      </c>
      <c r="F47" s="8"/>
      <c r="G47" s="8"/>
      <c r="H47" s="8"/>
      <c r="I47" s="8"/>
      <c r="J47" s="8"/>
      <c r="K47" s="8"/>
      <c r="L47" s="104"/>
      <c r="M47" s="16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7">
        <f t="shared" si="0"/>
        <v>0</v>
      </c>
      <c r="AD47" s="5"/>
    </row>
    <row r="48" spans="1:30" s="69" customFormat="1" ht="45" customHeight="1" x14ac:dyDescent="0.35">
      <c r="A48" s="15" t="s">
        <v>686</v>
      </c>
      <c r="B48" s="97" t="s">
        <v>153</v>
      </c>
      <c r="C48" s="90" t="s">
        <v>409</v>
      </c>
      <c r="D48" s="28">
        <v>45929</v>
      </c>
      <c r="E48" s="28">
        <v>45985</v>
      </c>
      <c r="F48" s="8"/>
      <c r="G48" s="8"/>
      <c r="H48" s="8"/>
      <c r="I48" s="8"/>
      <c r="J48" s="8"/>
      <c r="K48" s="8"/>
      <c r="L48" s="104"/>
      <c r="M48" s="16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7">
        <f t="shared" si="0"/>
        <v>0</v>
      </c>
      <c r="AD48" s="5"/>
    </row>
    <row r="49" spans="1:30" s="69" customFormat="1" ht="45" customHeight="1" x14ac:dyDescent="0.35">
      <c r="A49" s="15" t="s">
        <v>687</v>
      </c>
      <c r="B49" s="97" t="s">
        <v>154</v>
      </c>
      <c r="C49" s="90" t="s">
        <v>410</v>
      </c>
      <c r="D49" s="28">
        <v>45929</v>
      </c>
      <c r="E49" s="28">
        <v>45985</v>
      </c>
      <c r="F49" s="8"/>
      <c r="G49" s="8"/>
      <c r="H49" s="8"/>
      <c r="I49" s="8"/>
      <c r="J49" s="8"/>
      <c r="K49" s="8"/>
      <c r="L49" s="104"/>
      <c r="M49" s="16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7">
        <f t="shared" si="0"/>
        <v>0</v>
      </c>
      <c r="AD49" s="5"/>
    </row>
    <row r="50" spans="1:30" s="69" customFormat="1" ht="45" customHeight="1" x14ac:dyDescent="0.35">
      <c r="A50" s="15" t="s">
        <v>688</v>
      </c>
      <c r="B50" s="97" t="s">
        <v>155</v>
      </c>
      <c r="C50" s="90" t="s">
        <v>411</v>
      </c>
      <c r="D50" s="28">
        <v>45929</v>
      </c>
      <c r="E50" s="28">
        <v>45985</v>
      </c>
      <c r="F50" s="8"/>
      <c r="G50" s="8"/>
      <c r="H50" s="8"/>
      <c r="I50" s="8"/>
      <c r="J50" s="8"/>
      <c r="K50" s="8"/>
      <c r="L50" s="104"/>
      <c r="M50" s="16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7">
        <f t="shared" si="0"/>
        <v>0</v>
      </c>
      <c r="AD50" s="5"/>
    </row>
    <row r="51" spans="1:30" s="69" customFormat="1" ht="45" customHeight="1" x14ac:dyDescent="0.35">
      <c r="A51" s="15" t="s">
        <v>689</v>
      </c>
      <c r="B51" s="97" t="s">
        <v>156</v>
      </c>
      <c r="C51" s="90" t="s">
        <v>412</v>
      </c>
      <c r="D51" s="28">
        <v>45929</v>
      </c>
      <c r="E51" s="28">
        <v>45985</v>
      </c>
      <c r="F51" s="8"/>
      <c r="G51" s="8"/>
      <c r="H51" s="8"/>
      <c r="I51" s="8"/>
      <c r="J51" s="8"/>
      <c r="K51" s="8"/>
      <c r="L51" s="104"/>
      <c r="M51" s="16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7">
        <f t="shared" si="0"/>
        <v>0</v>
      </c>
      <c r="AD51" s="5"/>
    </row>
    <row r="52" spans="1:30" s="69" customFormat="1" ht="45" customHeight="1" x14ac:dyDescent="0.35">
      <c r="A52" s="15" t="s">
        <v>690</v>
      </c>
      <c r="B52" s="97" t="s">
        <v>157</v>
      </c>
      <c r="C52" s="90" t="s">
        <v>413</v>
      </c>
      <c r="D52" s="28">
        <v>45925</v>
      </c>
      <c r="E52" s="90"/>
      <c r="F52" s="8"/>
      <c r="G52" s="8"/>
      <c r="H52" s="8"/>
      <c r="I52" s="8"/>
      <c r="J52" s="8"/>
      <c r="K52" s="8"/>
      <c r="L52" s="104"/>
      <c r="M52" s="16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7">
        <f t="shared" si="0"/>
        <v>0</v>
      </c>
      <c r="AD52" s="5"/>
    </row>
    <row r="53" spans="1:30" s="69" customFormat="1" ht="45" customHeight="1" x14ac:dyDescent="0.35">
      <c r="A53" s="15" t="s">
        <v>691</v>
      </c>
      <c r="B53" s="97" t="s">
        <v>158</v>
      </c>
      <c r="C53" s="90" t="s">
        <v>414</v>
      </c>
      <c r="D53" s="28">
        <v>45918</v>
      </c>
      <c r="E53" s="90"/>
      <c r="F53" s="8"/>
      <c r="G53" s="8"/>
      <c r="H53" s="8"/>
      <c r="I53" s="8"/>
      <c r="J53" s="8"/>
      <c r="K53" s="8"/>
      <c r="L53" s="104"/>
      <c r="M53" s="16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7">
        <f t="shared" si="0"/>
        <v>0</v>
      </c>
      <c r="AD53" s="5"/>
    </row>
    <row r="54" spans="1:30" s="69" customFormat="1" ht="45" customHeight="1" x14ac:dyDescent="0.35">
      <c r="A54" s="15" t="s">
        <v>692</v>
      </c>
      <c r="B54" s="101" t="s">
        <v>159</v>
      </c>
      <c r="C54" s="90"/>
      <c r="D54" s="90"/>
      <c r="E54" s="90"/>
      <c r="F54" s="8"/>
      <c r="G54" s="8"/>
      <c r="H54" s="8"/>
      <c r="I54" s="8"/>
      <c r="J54" s="8"/>
      <c r="K54" s="8"/>
      <c r="L54" s="104"/>
      <c r="M54" s="16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7">
        <f t="shared" si="0"/>
        <v>0</v>
      </c>
      <c r="AD54" s="5"/>
    </row>
    <row r="55" spans="1:30" s="69" customFormat="1" ht="45" customHeight="1" x14ac:dyDescent="0.35">
      <c r="A55" s="15" t="s">
        <v>693</v>
      </c>
      <c r="B55" s="97" t="s">
        <v>160</v>
      </c>
      <c r="C55" s="90" t="s">
        <v>415</v>
      </c>
      <c r="D55" s="28">
        <v>45918</v>
      </c>
      <c r="E55" s="90"/>
      <c r="F55" s="8"/>
      <c r="G55" s="8"/>
      <c r="H55" s="8"/>
      <c r="I55" s="8"/>
      <c r="J55" s="8"/>
      <c r="K55" s="8"/>
      <c r="L55" s="104"/>
      <c r="M55" s="16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7">
        <f t="shared" si="0"/>
        <v>0</v>
      </c>
      <c r="AD55" s="5"/>
    </row>
    <row r="56" spans="1:30" s="69" customFormat="1" ht="45" customHeight="1" x14ac:dyDescent="0.35">
      <c r="A56" s="15" t="s">
        <v>694</v>
      </c>
      <c r="B56" s="97" t="s">
        <v>161</v>
      </c>
      <c r="C56" s="90" t="s">
        <v>416</v>
      </c>
      <c r="D56" s="28">
        <v>45922</v>
      </c>
      <c r="E56" s="90"/>
      <c r="F56" s="8"/>
      <c r="G56" s="8"/>
      <c r="H56" s="8"/>
      <c r="I56" s="8"/>
      <c r="J56" s="8"/>
      <c r="K56" s="8"/>
      <c r="L56" s="104"/>
      <c r="M56" s="16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7">
        <f t="shared" si="0"/>
        <v>0</v>
      </c>
      <c r="AD56" s="5"/>
    </row>
    <row r="57" spans="1:30" s="69" customFormat="1" ht="45" customHeight="1" x14ac:dyDescent="0.35">
      <c r="A57" s="15" t="s">
        <v>695</v>
      </c>
      <c r="B57" s="97" t="s">
        <v>162</v>
      </c>
      <c r="C57" s="90" t="s">
        <v>417</v>
      </c>
      <c r="D57" s="28">
        <v>45891</v>
      </c>
      <c r="E57" s="90"/>
      <c r="F57" s="8"/>
      <c r="G57" s="8"/>
      <c r="H57" s="8"/>
      <c r="I57" s="8"/>
      <c r="J57" s="8"/>
      <c r="K57" s="8"/>
      <c r="L57" s="104"/>
      <c r="M57" s="16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7">
        <f t="shared" si="0"/>
        <v>0</v>
      </c>
      <c r="AD57" s="5"/>
    </row>
    <row r="58" spans="1:30" s="69" customFormat="1" ht="45" customHeight="1" x14ac:dyDescent="0.35">
      <c r="A58" s="15" t="s">
        <v>696</v>
      </c>
      <c r="B58" s="100" t="s">
        <v>163</v>
      </c>
      <c r="C58" s="90"/>
      <c r="D58" s="90"/>
      <c r="E58" s="90"/>
      <c r="F58" s="8"/>
      <c r="G58" s="8"/>
      <c r="H58" s="8"/>
      <c r="I58" s="8"/>
      <c r="J58" s="8"/>
      <c r="K58" s="8"/>
      <c r="L58" s="104"/>
      <c r="M58" s="16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7">
        <f t="shared" si="0"/>
        <v>0</v>
      </c>
      <c r="AD58" s="5"/>
    </row>
    <row r="59" spans="1:30" s="69" customFormat="1" ht="45" customHeight="1" x14ac:dyDescent="0.35">
      <c r="A59" s="15" t="s">
        <v>697</v>
      </c>
      <c r="B59" s="97" t="s">
        <v>164</v>
      </c>
      <c r="C59" s="90" t="s">
        <v>418</v>
      </c>
      <c r="D59" s="28">
        <v>45918</v>
      </c>
      <c r="E59" s="90"/>
      <c r="F59" s="8"/>
      <c r="G59" s="8"/>
      <c r="H59" s="8"/>
      <c r="I59" s="8"/>
      <c r="J59" s="8"/>
      <c r="K59" s="8"/>
      <c r="L59" s="104"/>
      <c r="M59" s="16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7">
        <f t="shared" si="0"/>
        <v>0</v>
      </c>
      <c r="AD59" s="5"/>
    </row>
    <row r="60" spans="1:30" s="69" customFormat="1" ht="45" customHeight="1" x14ac:dyDescent="0.35">
      <c r="A60" s="15" t="s">
        <v>698</v>
      </c>
      <c r="B60" s="100" t="s">
        <v>165</v>
      </c>
      <c r="C60" s="90"/>
      <c r="D60" s="90"/>
      <c r="E60" s="90"/>
      <c r="F60" s="8"/>
      <c r="G60" s="8"/>
      <c r="H60" s="8"/>
      <c r="I60" s="8"/>
      <c r="J60" s="8"/>
      <c r="K60" s="8"/>
      <c r="L60" s="104"/>
      <c r="M60" s="16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7">
        <f t="shared" si="0"/>
        <v>0</v>
      </c>
      <c r="AD60" s="5"/>
    </row>
    <row r="61" spans="1:30" s="69" customFormat="1" ht="45" customHeight="1" x14ac:dyDescent="0.35">
      <c r="A61" s="15" t="s">
        <v>699</v>
      </c>
      <c r="B61" s="97" t="s">
        <v>166</v>
      </c>
      <c r="C61" s="90" t="s">
        <v>419</v>
      </c>
      <c r="D61" s="28">
        <v>45916</v>
      </c>
      <c r="E61" s="90"/>
      <c r="F61" s="8"/>
      <c r="G61" s="8"/>
      <c r="H61" s="8"/>
      <c r="I61" s="8"/>
      <c r="J61" s="8"/>
      <c r="K61" s="8"/>
      <c r="L61" s="104"/>
      <c r="M61" s="16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7">
        <f t="shared" si="0"/>
        <v>0</v>
      </c>
      <c r="AD61" s="5"/>
    </row>
    <row r="62" spans="1:30" s="69" customFormat="1" ht="45" customHeight="1" x14ac:dyDescent="0.35">
      <c r="A62" s="15" t="s">
        <v>700</v>
      </c>
      <c r="B62" s="97" t="s">
        <v>167</v>
      </c>
      <c r="C62" s="90" t="s">
        <v>420</v>
      </c>
      <c r="D62" s="28">
        <v>45915</v>
      </c>
      <c r="E62" s="90"/>
      <c r="F62" s="11" t="s">
        <v>1194</v>
      </c>
      <c r="G62" s="8">
        <v>122</v>
      </c>
      <c r="H62" s="8" t="s">
        <v>1195</v>
      </c>
      <c r="I62" s="8"/>
      <c r="J62" s="8"/>
      <c r="K62" s="8"/>
      <c r="L62" s="104"/>
      <c r="M62" s="16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7">
        <f t="shared" si="0"/>
        <v>0</v>
      </c>
      <c r="AD62" s="5"/>
    </row>
    <row r="63" spans="1:30" s="69" customFormat="1" ht="45" customHeight="1" x14ac:dyDescent="0.35">
      <c r="A63" s="15" t="s">
        <v>701</v>
      </c>
      <c r="B63" s="97" t="s">
        <v>168</v>
      </c>
      <c r="C63" s="90" t="s">
        <v>421</v>
      </c>
      <c r="D63" s="28">
        <v>45908</v>
      </c>
      <c r="E63" s="90"/>
      <c r="F63" s="8"/>
      <c r="G63" s="8"/>
      <c r="H63" s="8"/>
      <c r="I63" s="8"/>
      <c r="J63" s="8"/>
      <c r="K63" s="8"/>
      <c r="L63" s="104"/>
      <c r="M63" s="16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7">
        <f t="shared" si="0"/>
        <v>0</v>
      </c>
      <c r="AD63" s="5"/>
    </row>
    <row r="64" spans="1:30" s="69" customFormat="1" ht="45" customHeight="1" x14ac:dyDescent="0.35">
      <c r="A64" s="15" t="s">
        <v>702</v>
      </c>
      <c r="B64" s="97" t="s">
        <v>169</v>
      </c>
      <c r="C64" s="90" t="s">
        <v>422</v>
      </c>
      <c r="D64" s="28">
        <v>45912</v>
      </c>
      <c r="E64" s="90"/>
      <c r="F64" s="8"/>
      <c r="G64" s="8"/>
      <c r="H64" s="8"/>
      <c r="I64" s="8"/>
      <c r="J64" s="8"/>
      <c r="K64" s="8"/>
      <c r="L64" s="104"/>
      <c r="M64" s="16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7">
        <f t="shared" si="0"/>
        <v>0</v>
      </c>
      <c r="AD64" s="5"/>
    </row>
    <row r="65" spans="1:30" s="69" customFormat="1" ht="45" customHeight="1" x14ac:dyDescent="0.35">
      <c r="A65" s="15" t="s">
        <v>703</v>
      </c>
      <c r="B65" s="100" t="s">
        <v>170</v>
      </c>
      <c r="C65" s="90"/>
      <c r="D65" s="90"/>
      <c r="E65" s="90"/>
      <c r="F65" s="8"/>
      <c r="G65" s="8"/>
      <c r="H65" s="8"/>
      <c r="I65" s="8"/>
      <c r="J65" s="8"/>
      <c r="K65" s="8"/>
      <c r="L65" s="104"/>
      <c r="M65" s="16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7">
        <f t="shared" si="0"/>
        <v>0</v>
      </c>
      <c r="AD65" s="5"/>
    </row>
    <row r="66" spans="1:30" s="69" customFormat="1" ht="45" customHeight="1" x14ac:dyDescent="0.35">
      <c r="A66" s="15" t="s">
        <v>704</v>
      </c>
      <c r="B66" s="97" t="s">
        <v>171</v>
      </c>
      <c r="C66" s="90" t="s">
        <v>423</v>
      </c>
      <c r="D66" s="28">
        <v>45838</v>
      </c>
      <c r="E66" s="90"/>
      <c r="F66" s="8"/>
      <c r="G66" s="8"/>
      <c r="H66" s="8"/>
      <c r="I66" s="8"/>
      <c r="J66" s="8"/>
      <c r="K66" s="8"/>
      <c r="L66" s="104"/>
      <c r="M66" s="16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7">
        <f t="shared" si="0"/>
        <v>0</v>
      </c>
      <c r="AD66" s="5"/>
    </row>
    <row r="67" spans="1:30" s="69" customFormat="1" ht="45" customHeight="1" x14ac:dyDescent="0.35">
      <c r="A67" s="15" t="s">
        <v>705</v>
      </c>
      <c r="B67" s="97" t="s">
        <v>172</v>
      </c>
      <c r="C67" s="90" t="s">
        <v>424</v>
      </c>
      <c r="D67" s="28">
        <v>45936</v>
      </c>
      <c r="E67" s="28">
        <v>45985</v>
      </c>
      <c r="F67" s="8"/>
      <c r="G67" s="8"/>
      <c r="H67" s="8"/>
      <c r="I67" s="8"/>
      <c r="J67" s="8"/>
      <c r="K67" s="8"/>
      <c r="L67" s="104"/>
      <c r="M67" s="16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7">
        <f t="shared" si="0"/>
        <v>0</v>
      </c>
      <c r="AD67" s="5"/>
    </row>
    <row r="68" spans="1:30" s="69" customFormat="1" ht="45" customHeight="1" x14ac:dyDescent="0.35">
      <c r="A68" s="15" t="s">
        <v>706</v>
      </c>
      <c r="B68" s="97" t="s">
        <v>173</v>
      </c>
      <c r="C68" s="90" t="s">
        <v>425</v>
      </c>
      <c r="D68" s="28">
        <v>45936</v>
      </c>
      <c r="E68" s="28">
        <v>45985</v>
      </c>
      <c r="F68" s="8"/>
      <c r="G68" s="8"/>
      <c r="H68" s="8"/>
      <c r="I68" s="8"/>
      <c r="J68" s="8"/>
      <c r="K68" s="8"/>
      <c r="L68" s="104"/>
      <c r="M68" s="16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7">
        <f t="shared" si="0"/>
        <v>0</v>
      </c>
      <c r="AD68" s="5"/>
    </row>
    <row r="69" spans="1:30" s="69" customFormat="1" ht="45" customHeight="1" x14ac:dyDescent="0.35">
      <c r="A69" s="15" t="s">
        <v>707</v>
      </c>
      <c r="B69" s="97" t="s">
        <v>174</v>
      </c>
      <c r="C69" s="90" t="s">
        <v>426</v>
      </c>
      <c r="D69" s="28">
        <v>45936</v>
      </c>
      <c r="E69" s="90"/>
      <c r="F69" s="8"/>
      <c r="G69" s="8"/>
      <c r="H69" s="8"/>
      <c r="I69" s="8"/>
      <c r="J69" s="8"/>
      <c r="K69" s="8"/>
      <c r="L69" s="104"/>
      <c r="M69" s="16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7">
        <f t="shared" ref="AC69:AC132" si="1">+(L69+M69)-O69-R69-U69-X69-AA69</f>
        <v>0</v>
      </c>
      <c r="AD69" s="5"/>
    </row>
    <row r="70" spans="1:30" s="69" customFormat="1" ht="45" customHeight="1" x14ac:dyDescent="0.35">
      <c r="A70" s="15" t="s">
        <v>708</v>
      </c>
      <c r="B70" s="97" t="s">
        <v>175</v>
      </c>
      <c r="C70" s="90" t="s">
        <v>427</v>
      </c>
      <c r="D70" s="28">
        <v>45956</v>
      </c>
      <c r="E70" s="28">
        <v>45985</v>
      </c>
      <c r="F70" s="8"/>
      <c r="G70" s="8"/>
      <c r="H70" s="8"/>
      <c r="I70" s="8"/>
      <c r="J70" s="8"/>
      <c r="K70" s="8"/>
      <c r="L70" s="104"/>
      <c r="M70" s="16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7">
        <f t="shared" si="1"/>
        <v>0</v>
      </c>
      <c r="AD70" s="5"/>
    </row>
    <row r="71" spans="1:30" s="69" customFormat="1" ht="45" customHeight="1" x14ac:dyDescent="0.35">
      <c r="A71" s="15" t="s">
        <v>709</v>
      </c>
      <c r="B71" s="99" t="s">
        <v>176</v>
      </c>
      <c r="C71" s="90"/>
      <c r="D71" s="90"/>
      <c r="E71" s="90"/>
      <c r="F71" s="8"/>
      <c r="G71" s="8"/>
      <c r="H71" s="8"/>
      <c r="I71" s="8"/>
      <c r="J71" s="8"/>
      <c r="K71" s="8"/>
      <c r="L71" s="104"/>
      <c r="M71" s="16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7">
        <f t="shared" si="1"/>
        <v>0</v>
      </c>
      <c r="AD71" s="5"/>
    </row>
    <row r="72" spans="1:30" s="69" customFormat="1" ht="45" customHeight="1" x14ac:dyDescent="0.35">
      <c r="A72" s="15" t="s">
        <v>710</v>
      </c>
      <c r="B72" s="97" t="s">
        <v>177</v>
      </c>
      <c r="C72" s="90" t="s">
        <v>428</v>
      </c>
      <c r="D72" s="28">
        <v>45929</v>
      </c>
      <c r="E72" s="90"/>
      <c r="F72" s="8"/>
      <c r="G72" s="8"/>
      <c r="H72" s="8"/>
      <c r="I72" s="8"/>
      <c r="J72" s="8"/>
      <c r="K72" s="8"/>
      <c r="L72" s="104"/>
      <c r="M72" s="16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7">
        <f t="shared" si="1"/>
        <v>0</v>
      </c>
      <c r="AD72" s="5"/>
    </row>
    <row r="73" spans="1:30" s="69" customFormat="1" ht="45" customHeight="1" x14ac:dyDescent="0.35">
      <c r="A73" s="15" t="s">
        <v>711</v>
      </c>
      <c r="B73" s="97" t="s">
        <v>178</v>
      </c>
      <c r="C73" s="90" t="s">
        <v>429</v>
      </c>
      <c r="D73" s="28">
        <v>45931</v>
      </c>
      <c r="E73" s="90"/>
      <c r="F73" s="8"/>
      <c r="G73" s="8"/>
      <c r="H73" s="8"/>
      <c r="I73" s="8"/>
      <c r="J73" s="8"/>
      <c r="K73" s="8"/>
      <c r="L73" s="104"/>
      <c r="M73" s="16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7">
        <f t="shared" si="1"/>
        <v>0</v>
      </c>
      <c r="AD73" s="5"/>
    </row>
    <row r="74" spans="1:30" s="69" customFormat="1" ht="45" customHeight="1" x14ac:dyDescent="0.35">
      <c r="A74" s="15" t="s">
        <v>712</v>
      </c>
      <c r="B74" s="97" t="s">
        <v>179</v>
      </c>
      <c r="C74" s="90" t="s">
        <v>430</v>
      </c>
      <c r="D74" s="28">
        <v>45936</v>
      </c>
      <c r="E74" s="90"/>
      <c r="F74" s="8"/>
      <c r="G74" s="8"/>
      <c r="H74" s="8"/>
      <c r="I74" s="8"/>
      <c r="J74" s="8"/>
      <c r="K74" s="8"/>
      <c r="L74" s="104"/>
      <c r="M74" s="16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7">
        <f t="shared" si="1"/>
        <v>0</v>
      </c>
      <c r="AD74" s="5"/>
    </row>
    <row r="75" spans="1:30" s="69" customFormat="1" ht="45" customHeight="1" x14ac:dyDescent="0.35">
      <c r="A75" s="15" t="s">
        <v>713</v>
      </c>
      <c r="B75" s="100" t="s">
        <v>180</v>
      </c>
      <c r="C75" s="90"/>
      <c r="D75" s="28"/>
      <c r="E75" s="90"/>
      <c r="F75" s="8"/>
      <c r="G75" s="8"/>
      <c r="H75" s="8"/>
      <c r="I75" s="8"/>
      <c r="J75" s="8"/>
      <c r="K75" s="8"/>
      <c r="L75" s="104"/>
      <c r="M75" s="16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7">
        <f t="shared" si="1"/>
        <v>0</v>
      </c>
      <c r="AD75" s="5"/>
    </row>
    <row r="76" spans="1:30" s="69" customFormat="1" ht="45" customHeight="1" x14ac:dyDescent="0.35">
      <c r="A76" s="15" t="s">
        <v>714</v>
      </c>
      <c r="B76" s="97" t="s">
        <v>181</v>
      </c>
      <c r="C76" s="90" t="s">
        <v>431</v>
      </c>
      <c r="D76" s="28">
        <v>45944</v>
      </c>
      <c r="E76" s="90"/>
      <c r="F76" s="8"/>
      <c r="G76" s="8"/>
      <c r="H76" s="8"/>
      <c r="I76" s="8"/>
      <c r="J76" s="8"/>
      <c r="K76" s="8"/>
      <c r="L76" s="104"/>
      <c r="M76" s="16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7">
        <f t="shared" si="1"/>
        <v>0</v>
      </c>
      <c r="AD76" s="5"/>
    </row>
    <row r="77" spans="1:30" s="69" customFormat="1" ht="45" customHeight="1" x14ac:dyDescent="0.35">
      <c r="A77" s="15" t="s">
        <v>715</v>
      </c>
      <c r="B77" s="97" t="s">
        <v>182</v>
      </c>
      <c r="C77" s="90" t="s">
        <v>432</v>
      </c>
      <c r="D77" s="28">
        <v>45944</v>
      </c>
      <c r="E77" s="90"/>
      <c r="F77" s="8"/>
      <c r="G77" s="8"/>
      <c r="H77" s="8"/>
      <c r="I77" s="8"/>
      <c r="J77" s="8"/>
      <c r="K77" s="8"/>
      <c r="L77" s="104"/>
      <c r="M77" s="16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7">
        <f t="shared" si="1"/>
        <v>0</v>
      </c>
      <c r="AD77" s="5"/>
    </row>
    <row r="78" spans="1:30" s="69" customFormat="1" ht="45" customHeight="1" x14ac:dyDescent="0.35">
      <c r="A78" s="15" t="s">
        <v>716</v>
      </c>
      <c r="B78" s="100" t="s">
        <v>183</v>
      </c>
      <c r="C78" s="90"/>
      <c r="D78" s="90"/>
      <c r="E78" s="90"/>
      <c r="F78" s="8"/>
      <c r="G78" s="8"/>
      <c r="H78" s="8"/>
      <c r="I78" s="8"/>
      <c r="J78" s="8"/>
      <c r="K78" s="8"/>
      <c r="L78" s="104"/>
      <c r="M78" s="16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7">
        <f t="shared" si="1"/>
        <v>0</v>
      </c>
      <c r="AD78" s="5"/>
    </row>
    <row r="79" spans="1:30" s="69" customFormat="1" ht="45" customHeight="1" x14ac:dyDescent="0.35">
      <c r="A79" s="15" t="s">
        <v>717</v>
      </c>
      <c r="B79" s="97" t="s">
        <v>184</v>
      </c>
      <c r="C79" s="90" t="s">
        <v>433</v>
      </c>
      <c r="D79" s="28">
        <v>45944</v>
      </c>
      <c r="E79" s="90"/>
      <c r="F79" s="8"/>
      <c r="G79" s="8"/>
      <c r="H79" s="8"/>
      <c r="I79" s="8"/>
      <c r="J79" s="8"/>
      <c r="K79" s="8"/>
      <c r="L79" s="104"/>
      <c r="M79" s="16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7">
        <f t="shared" si="1"/>
        <v>0</v>
      </c>
      <c r="AD79" s="5"/>
    </row>
    <row r="80" spans="1:30" s="69" customFormat="1" ht="45" customHeight="1" x14ac:dyDescent="0.35">
      <c r="A80" s="15" t="s">
        <v>718</v>
      </c>
      <c r="B80" s="97" t="s">
        <v>185</v>
      </c>
      <c r="C80" s="90" t="s">
        <v>434</v>
      </c>
      <c r="D80" s="28">
        <v>45952</v>
      </c>
      <c r="E80" s="90"/>
      <c r="F80" s="8"/>
      <c r="G80" s="8"/>
      <c r="H80" s="8"/>
      <c r="I80" s="8"/>
      <c r="J80" s="8"/>
      <c r="K80" s="8"/>
      <c r="L80" s="104"/>
      <c r="M80" s="16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7">
        <f t="shared" si="1"/>
        <v>0</v>
      </c>
      <c r="AD80" s="5"/>
    </row>
    <row r="81" spans="1:30" s="69" customFormat="1" ht="45" customHeight="1" x14ac:dyDescent="0.35">
      <c r="A81" s="15" t="s">
        <v>719</v>
      </c>
      <c r="B81" s="97" t="s">
        <v>186</v>
      </c>
      <c r="C81" s="90" t="s">
        <v>435</v>
      </c>
      <c r="D81" s="28">
        <v>45952</v>
      </c>
      <c r="E81" s="90"/>
      <c r="F81" s="8"/>
      <c r="G81" s="8"/>
      <c r="H81" s="8"/>
      <c r="I81" s="8"/>
      <c r="J81" s="8"/>
      <c r="K81" s="8"/>
      <c r="L81" s="104"/>
      <c r="M81" s="16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7">
        <f t="shared" si="1"/>
        <v>0</v>
      </c>
      <c r="AD81" s="5"/>
    </row>
    <row r="82" spans="1:30" s="69" customFormat="1" ht="45" customHeight="1" x14ac:dyDescent="0.35">
      <c r="A82" s="15" t="s">
        <v>720</v>
      </c>
      <c r="B82" s="97" t="s">
        <v>187</v>
      </c>
      <c r="C82" s="90" t="s">
        <v>436</v>
      </c>
      <c r="D82" s="28">
        <v>45952</v>
      </c>
      <c r="E82" s="90"/>
      <c r="F82" s="8"/>
      <c r="G82" s="8"/>
      <c r="H82" s="8"/>
      <c r="I82" s="8"/>
      <c r="J82" s="8"/>
      <c r="K82" s="8"/>
      <c r="L82" s="104"/>
      <c r="M82" s="16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7">
        <f t="shared" si="1"/>
        <v>0</v>
      </c>
      <c r="AD82" s="5"/>
    </row>
    <row r="83" spans="1:30" s="69" customFormat="1" ht="45" customHeight="1" x14ac:dyDescent="0.35">
      <c r="A83" s="15" t="s">
        <v>721</v>
      </c>
      <c r="B83" s="97" t="s">
        <v>188</v>
      </c>
      <c r="C83" s="90" t="s">
        <v>437</v>
      </c>
      <c r="D83" s="28">
        <v>45951</v>
      </c>
      <c r="E83" s="90"/>
      <c r="F83" s="8"/>
      <c r="G83" s="8"/>
      <c r="H83" s="8"/>
      <c r="I83" s="8"/>
      <c r="J83" s="8"/>
      <c r="K83" s="8"/>
      <c r="L83" s="104"/>
      <c r="M83" s="16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7">
        <f t="shared" si="1"/>
        <v>0</v>
      </c>
      <c r="AD83" s="5"/>
    </row>
    <row r="84" spans="1:30" s="69" customFormat="1" ht="45" customHeight="1" x14ac:dyDescent="0.35">
      <c r="A84" s="15" t="s">
        <v>722</v>
      </c>
      <c r="B84" s="97" t="s">
        <v>189</v>
      </c>
      <c r="C84" s="90" t="s">
        <v>438</v>
      </c>
      <c r="D84" s="28">
        <v>45945</v>
      </c>
      <c r="E84" s="90"/>
      <c r="F84" s="8"/>
      <c r="G84" s="8"/>
      <c r="H84" s="8"/>
      <c r="I84" s="8"/>
      <c r="J84" s="8"/>
      <c r="K84" s="8"/>
      <c r="L84" s="104"/>
      <c r="M84" s="16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7">
        <f t="shared" si="1"/>
        <v>0</v>
      </c>
      <c r="AD84" s="5"/>
    </row>
    <row r="85" spans="1:30" s="69" customFormat="1" ht="45" customHeight="1" x14ac:dyDescent="0.35">
      <c r="A85" s="15" t="s">
        <v>723</v>
      </c>
      <c r="B85" s="97" t="s">
        <v>190</v>
      </c>
      <c r="C85" s="90" t="s">
        <v>439</v>
      </c>
      <c r="D85" s="28">
        <v>45953</v>
      </c>
      <c r="E85" s="90"/>
      <c r="F85" s="8"/>
      <c r="G85" s="8"/>
      <c r="H85" s="8"/>
      <c r="I85" s="8"/>
      <c r="J85" s="8"/>
      <c r="K85" s="8"/>
      <c r="L85" s="104"/>
      <c r="M85" s="16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7">
        <f t="shared" si="1"/>
        <v>0</v>
      </c>
      <c r="AD85" s="5"/>
    </row>
    <row r="86" spans="1:30" s="69" customFormat="1" ht="45" customHeight="1" x14ac:dyDescent="0.35">
      <c r="A86" s="15" t="s">
        <v>724</v>
      </c>
      <c r="B86" s="97" t="s">
        <v>191</v>
      </c>
      <c r="C86" s="90" t="s">
        <v>440</v>
      </c>
      <c r="D86" s="28">
        <v>45953</v>
      </c>
      <c r="E86" s="90"/>
      <c r="F86" s="8"/>
      <c r="G86" s="8"/>
      <c r="H86" s="8"/>
      <c r="I86" s="8"/>
      <c r="J86" s="8"/>
      <c r="K86" s="8"/>
      <c r="L86" s="104"/>
      <c r="M86" s="16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7">
        <f t="shared" si="1"/>
        <v>0</v>
      </c>
      <c r="AD86" s="5"/>
    </row>
    <row r="87" spans="1:30" s="69" customFormat="1" ht="45" customHeight="1" x14ac:dyDescent="0.35">
      <c r="A87" s="15" t="s">
        <v>725</v>
      </c>
      <c r="B87" s="97" t="s">
        <v>192</v>
      </c>
      <c r="C87" s="90" t="s">
        <v>441</v>
      </c>
      <c r="D87" s="28">
        <v>45953</v>
      </c>
      <c r="E87" s="90"/>
      <c r="F87" s="8"/>
      <c r="G87" s="8"/>
      <c r="H87" s="8"/>
      <c r="I87" s="8"/>
      <c r="J87" s="8"/>
      <c r="K87" s="8"/>
      <c r="L87" s="104"/>
      <c r="M87" s="16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7">
        <f t="shared" si="1"/>
        <v>0</v>
      </c>
      <c r="AD87" s="5"/>
    </row>
    <row r="88" spans="1:30" s="69" customFormat="1" ht="45" customHeight="1" x14ac:dyDescent="0.35">
      <c r="A88" s="15" t="s">
        <v>726</v>
      </c>
      <c r="B88" s="99" t="s">
        <v>193</v>
      </c>
      <c r="C88" s="90" t="s">
        <v>442</v>
      </c>
      <c r="D88" s="28">
        <v>45953</v>
      </c>
      <c r="E88" s="90"/>
      <c r="F88" s="8"/>
      <c r="G88" s="8"/>
      <c r="H88" s="8"/>
      <c r="I88" s="8"/>
      <c r="J88" s="8"/>
      <c r="K88" s="8"/>
      <c r="L88" s="104"/>
      <c r="M88" s="163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7">
        <f t="shared" si="1"/>
        <v>0</v>
      </c>
      <c r="AD88" s="5"/>
    </row>
    <row r="89" spans="1:30" s="69" customFormat="1" ht="45" customHeight="1" x14ac:dyDescent="0.35">
      <c r="A89" s="15" t="s">
        <v>727</v>
      </c>
      <c r="B89" s="97" t="s">
        <v>194</v>
      </c>
      <c r="C89" s="90" t="s">
        <v>443</v>
      </c>
      <c r="D89" s="28">
        <v>45957</v>
      </c>
      <c r="E89" s="90"/>
      <c r="F89" s="8"/>
      <c r="G89" s="8"/>
      <c r="H89" s="8"/>
      <c r="I89" s="8"/>
      <c r="J89" s="8"/>
      <c r="K89" s="8"/>
      <c r="L89" s="104"/>
      <c r="M89" s="163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7">
        <f t="shared" si="1"/>
        <v>0</v>
      </c>
      <c r="AD89" s="5"/>
    </row>
    <row r="90" spans="1:30" s="69" customFormat="1" ht="45" customHeight="1" x14ac:dyDescent="0.35">
      <c r="A90" s="15" t="s">
        <v>728</v>
      </c>
      <c r="B90" s="97" t="s">
        <v>195</v>
      </c>
      <c r="C90" s="90" t="s">
        <v>444</v>
      </c>
      <c r="D90" s="28">
        <v>45957</v>
      </c>
      <c r="E90" s="90"/>
      <c r="F90" s="8"/>
      <c r="G90" s="8"/>
      <c r="H90" s="8"/>
      <c r="I90" s="8"/>
      <c r="J90" s="8"/>
      <c r="K90" s="8"/>
      <c r="L90" s="104"/>
      <c r="M90" s="163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7">
        <f t="shared" si="1"/>
        <v>0</v>
      </c>
      <c r="AD90" s="5"/>
    </row>
    <row r="91" spans="1:30" s="69" customFormat="1" ht="45" customHeight="1" x14ac:dyDescent="0.35">
      <c r="A91" s="15" t="s">
        <v>729</v>
      </c>
      <c r="B91" s="97" t="s">
        <v>196</v>
      </c>
      <c r="C91" s="90" t="s">
        <v>445</v>
      </c>
      <c r="D91" s="28">
        <v>45897</v>
      </c>
      <c r="E91" s="90"/>
      <c r="F91" s="8"/>
      <c r="G91" s="8"/>
      <c r="H91" s="8"/>
      <c r="I91" s="8"/>
      <c r="J91" s="8"/>
      <c r="K91" s="8"/>
      <c r="L91" s="104"/>
      <c r="M91" s="163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7">
        <f t="shared" si="1"/>
        <v>0</v>
      </c>
      <c r="AD91" s="5"/>
    </row>
    <row r="92" spans="1:30" s="69" customFormat="1" ht="45" customHeight="1" x14ac:dyDescent="0.35">
      <c r="A92" s="15" t="s">
        <v>730</v>
      </c>
      <c r="B92" s="97" t="s">
        <v>197</v>
      </c>
      <c r="C92" s="90" t="s">
        <v>446</v>
      </c>
      <c r="D92" s="28">
        <v>45831</v>
      </c>
      <c r="E92" s="90"/>
      <c r="F92" s="8"/>
      <c r="G92" s="8"/>
      <c r="H92" s="8"/>
      <c r="I92" s="8"/>
      <c r="J92" s="8"/>
      <c r="K92" s="8"/>
      <c r="L92" s="104"/>
      <c r="M92" s="16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7">
        <f t="shared" si="1"/>
        <v>0</v>
      </c>
      <c r="AD92" s="5"/>
    </row>
    <row r="93" spans="1:30" s="69" customFormat="1" ht="45" customHeight="1" x14ac:dyDescent="0.35">
      <c r="A93" s="15" t="s">
        <v>731</v>
      </c>
      <c r="B93" s="97" t="s">
        <v>198</v>
      </c>
      <c r="C93" s="90" t="s">
        <v>447</v>
      </c>
      <c r="D93" s="28">
        <v>45780</v>
      </c>
      <c r="E93" s="90"/>
      <c r="F93" s="8"/>
      <c r="G93" s="8"/>
      <c r="H93" s="8"/>
      <c r="I93" s="8"/>
      <c r="J93" s="8"/>
      <c r="K93" s="8"/>
      <c r="L93" s="104"/>
      <c r="M93" s="163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7">
        <f t="shared" si="1"/>
        <v>0</v>
      </c>
      <c r="AD93" s="5"/>
    </row>
    <row r="94" spans="1:30" s="69" customFormat="1" ht="45" customHeight="1" x14ac:dyDescent="0.35">
      <c r="A94" s="15" t="s">
        <v>732</v>
      </c>
      <c r="B94" s="97" t="s">
        <v>199</v>
      </c>
      <c r="C94" s="90" t="s">
        <v>448</v>
      </c>
      <c r="D94" s="28">
        <v>45901</v>
      </c>
      <c r="E94" s="90"/>
      <c r="F94" s="8"/>
      <c r="G94" s="8"/>
      <c r="H94" s="8"/>
      <c r="I94" s="8"/>
      <c r="J94" s="8"/>
      <c r="K94" s="8"/>
      <c r="L94" s="104"/>
      <c r="M94" s="163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7">
        <f t="shared" si="1"/>
        <v>0</v>
      </c>
      <c r="AD94" s="5"/>
    </row>
    <row r="95" spans="1:30" s="69" customFormat="1" ht="45" customHeight="1" x14ac:dyDescent="0.35">
      <c r="A95" s="15" t="s">
        <v>733</v>
      </c>
      <c r="B95" s="100" t="s">
        <v>200</v>
      </c>
      <c r="C95" s="90"/>
      <c r="D95" s="28"/>
      <c r="E95" s="90"/>
      <c r="F95" s="8"/>
      <c r="G95" s="8"/>
      <c r="H95" s="8"/>
      <c r="I95" s="8"/>
      <c r="J95" s="8"/>
      <c r="K95" s="8"/>
      <c r="L95" s="104"/>
      <c r="M95" s="163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7">
        <f t="shared" si="1"/>
        <v>0</v>
      </c>
      <c r="AD95" s="5"/>
    </row>
    <row r="96" spans="1:30" s="69" customFormat="1" ht="45" customHeight="1" x14ac:dyDescent="0.35">
      <c r="A96" s="15" t="s">
        <v>734</v>
      </c>
      <c r="B96" s="97" t="s">
        <v>201</v>
      </c>
      <c r="C96" s="90" t="s">
        <v>449</v>
      </c>
      <c r="D96" s="28">
        <v>45775</v>
      </c>
      <c r="E96" s="90"/>
      <c r="F96" s="8"/>
      <c r="G96" s="8"/>
      <c r="H96" s="8"/>
      <c r="I96" s="8"/>
      <c r="J96" s="8"/>
      <c r="K96" s="8"/>
      <c r="L96" s="104"/>
      <c r="M96" s="163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7">
        <f t="shared" si="1"/>
        <v>0</v>
      </c>
      <c r="AD96" s="5"/>
    </row>
    <row r="97" spans="1:30" s="69" customFormat="1" ht="45" customHeight="1" x14ac:dyDescent="0.35">
      <c r="A97" s="15" t="s">
        <v>735</v>
      </c>
      <c r="B97" s="97" t="s">
        <v>202</v>
      </c>
      <c r="C97" s="90" t="s">
        <v>450</v>
      </c>
      <c r="D97" s="28">
        <v>45968</v>
      </c>
      <c r="E97" s="90"/>
      <c r="F97" s="8"/>
      <c r="G97" s="8"/>
      <c r="H97" s="8"/>
      <c r="I97" s="8"/>
      <c r="J97" s="8"/>
      <c r="K97" s="8"/>
      <c r="L97" s="104"/>
      <c r="M97" s="163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7">
        <f t="shared" si="1"/>
        <v>0</v>
      </c>
      <c r="AD97" s="5"/>
    </row>
    <row r="98" spans="1:30" s="69" customFormat="1" ht="45" customHeight="1" x14ac:dyDescent="0.35">
      <c r="A98" s="15" t="s">
        <v>736</v>
      </c>
      <c r="B98" s="97" t="s">
        <v>203</v>
      </c>
      <c r="C98" s="90" t="s">
        <v>451</v>
      </c>
      <c r="D98" s="28">
        <v>45929</v>
      </c>
      <c r="E98" s="90"/>
      <c r="F98" s="8"/>
      <c r="G98" s="8"/>
      <c r="H98" s="8"/>
      <c r="I98" s="8"/>
      <c r="J98" s="8"/>
      <c r="K98" s="8"/>
      <c r="L98" s="104"/>
      <c r="M98" s="163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7">
        <f t="shared" si="1"/>
        <v>0</v>
      </c>
      <c r="AD98" s="5"/>
    </row>
    <row r="99" spans="1:30" s="69" customFormat="1" ht="45" customHeight="1" x14ac:dyDescent="0.35">
      <c r="A99" s="15" t="s">
        <v>737</v>
      </c>
      <c r="B99" s="97" t="s">
        <v>204</v>
      </c>
      <c r="C99" s="90" t="s">
        <v>452</v>
      </c>
      <c r="D99" s="28">
        <v>45958</v>
      </c>
      <c r="E99" s="90"/>
      <c r="F99" s="8"/>
      <c r="G99" s="8"/>
      <c r="H99" s="8"/>
      <c r="I99" s="8"/>
      <c r="J99" s="8"/>
      <c r="K99" s="8"/>
      <c r="L99" s="104"/>
      <c r="M99" s="163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7">
        <f t="shared" si="1"/>
        <v>0</v>
      </c>
      <c r="AD99" s="5"/>
    </row>
    <row r="100" spans="1:30" s="69" customFormat="1" ht="45" customHeight="1" x14ac:dyDescent="0.35">
      <c r="A100" s="15" t="s">
        <v>738</v>
      </c>
      <c r="B100" s="97" t="s">
        <v>205</v>
      </c>
      <c r="C100" s="90" t="s">
        <v>450</v>
      </c>
      <c r="D100" s="28">
        <v>45958</v>
      </c>
      <c r="E100" s="90"/>
      <c r="F100" s="8"/>
      <c r="G100" s="8"/>
      <c r="H100" s="8"/>
      <c r="I100" s="8"/>
      <c r="J100" s="8"/>
      <c r="K100" s="8"/>
      <c r="L100" s="104"/>
      <c r="M100" s="163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7">
        <f t="shared" si="1"/>
        <v>0</v>
      </c>
      <c r="AD100" s="5"/>
    </row>
    <row r="101" spans="1:30" s="69" customFormat="1" ht="45" customHeight="1" x14ac:dyDescent="0.35">
      <c r="A101" s="15" t="s">
        <v>739</v>
      </c>
      <c r="B101" s="97" t="s">
        <v>206</v>
      </c>
      <c r="C101" s="90" t="s">
        <v>453</v>
      </c>
      <c r="D101" s="28">
        <v>45971</v>
      </c>
      <c r="E101" s="28">
        <v>45988</v>
      </c>
      <c r="F101" s="8"/>
      <c r="G101" s="8"/>
      <c r="H101" s="8"/>
      <c r="I101" s="8"/>
      <c r="J101" s="8"/>
      <c r="K101" s="8"/>
      <c r="L101" s="104"/>
      <c r="M101" s="163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7">
        <f t="shared" si="1"/>
        <v>0</v>
      </c>
      <c r="AD101" s="5"/>
    </row>
    <row r="102" spans="1:30" s="69" customFormat="1" ht="45" customHeight="1" x14ac:dyDescent="0.35">
      <c r="A102" s="15" t="s">
        <v>740</v>
      </c>
      <c r="B102" s="97" t="s">
        <v>207</v>
      </c>
      <c r="C102" s="90" t="s">
        <v>454</v>
      </c>
      <c r="D102" s="28">
        <v>45971</v>
      </c>
      <c r="E102" s="28">
        <v>45988</v>
      </c>
      <c r="F102" s="8"/>
      <c r="G102" s="8"/>
      <c r="H102" s="8"/>
      <c r="I102" s="8"/>
      <c r="J102" s="8"/>
      <c r="K102" s="8"/>
      <c r="L102" s="104"/>
      <c r="M102" s="163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7">
        <f t="shared" si="1"/>
        <v>0</v>
      </c>
      <c r="AD102" s="5"/>
    </row>
    <row r="103" spans="1:30" s="69" customFormat="1" ht="45" customHeight="1" x14ac:dyDescent="0.35">
      <c r="A103" s="15" t="s">
        <v>741</v>
      </c>
      <c r="B103" s="97" t="s">
        <v>208</v>
      </c>
      <c r="C103" s="90" t="s">
        <v>455</v>
      </c>
      <c r="D103" s="28">
        <v>45971</v>
      </c>
      <c r="E103" s="90"/>
      <c r="F103" s="8"/>
      <c r="G103" s="8"/>
      <c r="H103" s="8"/>
      <c r="I103" s="8"/>
      <c r="J103" s="8"/>
      <c r="K103" s="8"/>
      <c r="L103" s="104"/>
      <c r="M103" s="163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7">
        <f t="shared" si="1"/>
        <v>0</v>
      </c>
      <c r="AD103" s="5"/>
    </row>
    <row r="104" spans="1:30" s="69" customFormat="1" ht="45" customHeight="1" x14ac:dyDescent="0.35">
      <c r="A104" s="15" t="s">
        <v>742</v>
      </c>
      <c r="B104" s="97" t="s">
        <v>209</v>
      </c>
      <c r="C104" s="90" t="s">
        <v>456</v>
      </c>
      <c r="D104" s="28">
        <v>45960</v>
      </c>
      <c r="E104" s="90"/>
      <c r="F104" s="8"/>
      <c r="G104" s="8"/>
      <c r="H104" s="8"/>
      <c r="I104" s="8"/>
      <c r="J104" s="8"/>
      <c r="K104" s="8"/>
      <c r="L104" s="104"/>
      <c r="M104" s="163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7">
        <f t="shared" si="1"/>
        <v>0</v>
      </c>
      <c r="AD104" s="5"/>
    </row>
    <row r="105" spans="1:30" s="69" customFormat="1" ht="45" customHeight="1" x14ac:dyDescent="0.35">
      <c r="A105" s="15" t="s">
        <v>743</v>
      </c>
      <c r="B105" s="99" t="s">
        <v>210</v>
      </c>
      <c r="C105" s="90" t="s">
        <v>457</v>
      </c>
      <c r="D105" s="28">
        <v>45961</v>
      </c>
      <c r="E105" s="28">
        <v>45988</v>
      </c>
      <c r="F105" s="8"/>
      <c r="G105" s="8"/>
      <c r="H105" s="8"/>
      <c r="I105" s="8"/>
      <c r="J105" s="8"/>
      <c r="K105" s="8"/>
      <c r="L105" s="104"/>
      <c r="M105" s="163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7">
        <f t="shared" si="1"/>
        <v>0</v>
      </c>
      <c r="AD105" s="5"/>
    </row>
    <row r="106" spans="1:30" s="69" customFormat="1" ht="45" customHeight="1" x14ac:dyDescent="0.35">
      <c r="A106" s="15" t="s">
        <v>744</v>
      </c>
      <c r="B106" s="97" t="s">
        <v>211</v>
      </c>
      <c r="C106" s="90" t="s">
        <v>458</v>
      </c>
      <c r="D106" s="28">
        <v>45961</v>
      </c>
      <c r="E106" s="90"/>
      <c r="F106" s="8"/>
      <c r="G106" s="8"/>
      <c r="H106" s="8"/>
      <c r="I106" s="8"/>
      <c r="J106" s="8"/>
      <c r="K106" s="8"/>
      <c r="L106" s="104"/>
      <c r="M106" s="163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7">
        <f t="shared" si="1"/>
        <v>0</v>
      </c>
      <c r="AD106" s="5"/>
    </row>
    <row r="107" spans="1:30" s="69" customFormat="1" ht="45" customHeight="1" x14ac:dyDescent="0.35">
      <c r="A107" s="15" t="s">
        <v>745</v>
      </c>
      <c r="B107" s="97" t="s">
        <v>212</v>
      </c>
      <c r="C107" s="90" t="s">
        <v>459</v>
      </c>
      <c r="D107" s="28">
        <v>45960</v>
      </c>
      <c r="E107" s="28">
        <v>45985</v>
      </c>
      <c r="F107" s="8"/>
      <c r="G107" s="8"/>
      <c r="H107" s="8"/>
      <c r="I107" s="8"/>
      <c r="J107" s="8"/>
      <c r="K107" s="8"/>
      <c r="L107" s="104"/>
      <c r="M107" s="163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7">
        <f t="shared" si="1"/>
        <v>0</v>
      </c>
      <c r="AD107" s="5"/>
    </row>
    <row r="108" spans="1:30" s="69" customFormat="1" ht="45" customHeight="1" x14ac:dyDescent="0.35">
      <c r="A108" s="15" t="s">
        <v>746</v>
      </c>
      <c r="B108" s="97" t="s">
        <v>213</v>
      </c>
      <c r="C108" s="90" t="s">
        <v>460</v>
      </c>
      <c r="D108" s="28">
        <v>45971</v>
      </c>
      <c r="E108" s="90"/>
      <c r="F108" s="8"/>
      <c r="G108" s="8"/>
      <c r="H108" s="8"/>
      <c r="I108" s="8"/>
      <c r="J108" s="8"/>
      <c r="K108" s="8"/>
      <c r="L108" s="104"/>
      <c r="M108" s="163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7">
        <f t="shared" si="1"/>
        <v>0</v>
      </c>
      <c r="AD108" s="5"/>
    </row>
    <row r="109" spans="1:30" s="69" customFormat="1" ht="45" customHeight="1" x14ac:dyDescent="0.35">
      <c r="A109" s="15" t="s">
        <v>747</v>
      </c>
      <c r="B109" s="97" t="s">
        <v>214</v>
      </c>
      <c r="C109" s="90" t="s">
        <v>461</v>
      </c>
      <c r="D109" s="28">
        <v>45968</v>
      </c>
      <c r="E109" s="28"/>
      <c r="F109" s="8"/>
      <c r="G109" s="8"/>
      <c r="H109" s="8"/>
      <c r="I109" s="8"/>
      <c r="J109" s="8"/>
      <c r="K109" s="8"/>
      <c r="L109" s="104"/>
      <c r="M109" s="163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7">
        <f t="shared" si="1"/>
        <v>0</v>
      </c>
      <c r="AD109" s="5"/>
    </row>
    <row r="110" spans="1:30" s="69" customFormat="1" ht="45" customHeight="1" x14ac:dyDescent="0.35">
      <c r="A110" s="15" t="s">
        <v>748</v>
      </c>
      <c r="B110" s="97" t="s">
        <v>215</v>
      </c>
      <c r="C110" s="90" t="s">
        <v>462</v>
      </c>
      <c r="D110" s="28">
        <v>45972</v>
      </c>
      <c r="E110" s="90"/>
      <c r="F110" s="8"/>
      <c r="G110" s="8"/>
      <c r="H110" s="8"/>
      <c r="I110" s="8"/>
      <c r="J110" s="8"/>
      <c r="K110" s="8"/>
      <c r="L110" s="104"/>
      <c r="M110" s="163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7">
        <f t="shared" si="1"/>
        <v>0</v>
      </c>
      <c r="AD110" s="5"/>
    </row>
    <row r="111" spans="1:30" s="69" customFormat="1" ht="45" customHeight="1" x14ac:dyDescent="0.35">
      <c r="A111" s="15" t="s">
        <v>749</v>
      </c>
      <c r="B111" s="97" t="s">
        <v>216</v>
      </c>
      <c r="C111" s="90" t="s">
        <v>463</v>
      </c>
      <c r="D111" s="28">
        <v>45971</v>
      </c>
      <c r="E111" s="90"/>
      <c r="F111" s="8"/>
      <c r="G111" s="8"/>
      <c r="H111" s="8"/>
      <c r="I111" s="8"/>
      <c r="J111" s="8"/>
      <c r="K111" s="8"/>
      <c r="L111" s="104"/>
      <c r="M111" s="163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7">
        <f t="shared" si="1"/>
        <v>0</v>
      </c>
      <c r="AD111" s="5"/>
    </row>
    <row r="112" spans="1:30" s="69" customFormat="1" ht="45" customHeight="1" x14ac:dyDescent="0.35">
      <c r="A112" s="15" t="s">
        <v>750</v>
      </c>
      <c r="B112" s="97" t="s">
        <v>217</v>
      </c>
      <c r="C112" s="90" t="s">
        <v>464</v>
      </c>
      <c r="D112" s="28">
        <v>45971</v>
      </c>
      <c r="E112" s="90"/>
      <c r="F112" s="8"/>
      <c r="G112" s="8"/>
      <c r="H112" s="8"/>
      <c r="I112" s="8"/>
      <c r="J112" s="8"/>
      <c r="K112" s="8"/>
      <c r="L112" s="104"/>
      <c r="M112" s="163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7">
        <f t="shared" si="1"/>
        <v>0</v>
      </c>
      <c r="AD112" s="5"/>
    </row>
    <row r="113" spans="1:30" s="69" customFormat="1" ht="45" customHeight="1" x14ac:dyDescent="0.35">
      <c r="A113" s="15" t="s">
        <v>751</v>
      </c>
      <c r="B113" s="97" t="s">
        <v>218</v>
      </c>
      <c r="C113" s="90" t="s">
        <v>465</v>
      </c>
      <c r="D113" s="28">
        <v>45971</v>
      </c>
      <c r="E113" s="90"/>
      <c r="F113" s="8"/>
      <c r="G113" s="8"/>
      <c r="H113" s="8"/>
      <c r="I113" s="8"/>
      <c r="J113" s="8"/>
      <c r="K113" s="8"/>
      <c r="L113" s="104"/>
      <c r="M113" s="163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7">
        <f t="shared" si="1"/>
        <v>0</v>
      </c>
      <c r="AD113" s="5"/>
    </row>
    <row r="114" spans="1:30" s="69" customFormat="1" ht="45" customHeight="1" x14ac:dyDescent="0.35">
      <c r="A114" s="15" t="s">
        <v>752</v>
      </c>
      <c r="B114" s="97" t="s">
        <v>219</v>
      </c>
      <c r="C114" s="90" t="s">
        <v>466</v>
      </c>
      <c r="D114" s="28">
        <v>45971</v>
      </c>
      <c r="E114" s="28">
        <v>45988</v>
      </c>
      <c r="F114" s="8"/>
      <c r="G114" s="8"/>
      <c r="H114" s="8"/>
      <c r="I114" s="8"/>
      <c r="J114" s="8"/>
      <c r="K114" s="8"/>
      <c r="L114" s="104"/>
      <c r="M114" s="163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7">
        <f t="shared" si="1"/>
        <v>0</v>
      </c>
      <c r="AD114" s="5"/>
    </row>
    <row r="115" spans="1:30" s="69" customFormat="1" ht="45" customHeight="1" x14ac:dyDescent="0.35">
      <c r="A115" s="15" t="s">
        <v>753</v>
      </c>
      <c r="B115" s="97" t="s">
        <v>220</v>
      </c>
      <c r="C115" s="90" t="s">
        <v>467</v>
      </c>
      <c r="D115" s="28">
        <v>45971</v>
      </c>
      <c r="E115" s="28">
        <v>45988</v>
      </c>
      <c r="F115" s="8"/>
      <c r="G115" s="8"/>
      <c r="H115" s="8"/>
      <c r="I115" s="8"/>
      <c r="J115" s="8"/>
      <c r="K115" s="8"/>
      <c r="L115" s="104"/>
      <c r="M115" s="163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7">
        <f t="shared" si="1"/>
        <v>0</v>
      </c>
      <c r="AD115" s="5"/>
    </row>
    <row r="116" spans="1:30" s="69" customFormat="1" ht="45" customHeight="1" x14ac:dyDescent="0.35">
      <c r="A116" s="15" t="s">
        <v>754</v>
      </c>
      <c r="B116" s="97" t="s">
        <v>221</v>
      </c>
      <c r="C116" s="90" t="s">
        <v>468</v>
      </c>
      <c r="D116" s="28">
        <v>45973</v>
      </c>
      <c r="E116" s="90"/>
      <c r="F116" s="8"/>
      <c r="G116" s="8"/>
      <c r="H116" s="8"/>
      <c r="I116" s="8"/>
      <c r="J116" s="8"/>
      <c r="K116" s="8"/>
      <c r="L116" s="104"/>
      <c r="M116" s="163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7">
        <f t="shared" si="1"/>
        <v>0</v>
      </c>
      <c r="AD116" s="5"/>
    </row>
    <row r="117" spans="1:30" s="69" customFormat="1" ht="45" customHeight="1" x14ac:dyDescent="0.35">
      <c r="A117" s="15" t="s">
        <v>755</v>
      </c>
      <c r="B117" s="102" t="s">
        <v>222</v>
      </c>
      <c r="C117" s="90" t="s">
        <v>469</v>
      </c>
      <c r="D117" s="28">
        <v>45974</v>
      </c>
      <c r="E117" s="90"/>
      <c r="F117" s="8"/>
      <c r="G117" s="8"/>
      <c r="H117" s="8"/>
      <c r="I117" s="8"/>
      <c r="J117" s="8"/>
      <c r="K117" s="8"/>
      <c r="L117" s="104"/>
      <c r="M117" s="163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7">
        <f t="shared" si="1"/>
        <v>0</v>
      </c>
      <c r="AD117" s="5"/>
    </row>
    <row r="118" spans="1:30" s="69" customFormat="1" ht="45" customHeight="1" x14ac:dyDescent="0.35">
      <c r="A118" s="15" t="s">
        <v>756</v>
      </c>
      <c r="B118" s="97" t="s">
        <v>223</v>
      </c>
      <c r="C118" s="90" t="s">
        <v>470</v>
      </c>
      <c r="D118" s="28">
        <v>45974</v>
      </c>
      <c r="E118" s="90"/>
      <c r="F118" s="8"/>
      <c r="G118" s="8"/>
      <c r="H118" s="8"/>
      <c r="I118" s="8"/>
      <c r="J118" s="8"/>
      <c r="K118" s="8"/>
      <c r="L118" s="104"/>
      <c r="M118" s="163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7">
        <f t="shared" si="1"/>
        <v>0</v>
      </c>
      <c r="AD118" s="5"/>
    </row>
    <row r="119" spans="1:30" s="69" customFormat="1" ht="45" customHeight="1" x14ac:dyDescent="0.35">
      <c r="A119" s="15" t="s">
        <v>757</v>
      </c>
      <c r="B119" s="102" t="s">
        <v>224</v>
      </c>
      <c r="C119" s="90" t="s">
        <v>471</v>
      </c>
      <c r="D119" s="28">
        <v>45974</v>
      </c>
      <c r="E119" s="28">
        <v>45988</v>
      </c>
      <c r="F119" s="8"/>
      <c r="G119" s="8"/>
      <c r="H119" s="8"/>
      <c r="I119" s="8"/>
      <c r="J119" s="8"/>
      <c r="K119" s="8"/>
      <c r="L119" s="104"/>
      <c r="M119" s="163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7">
        <f t="shared" si="1"/>
        <v>0</v>
      </c>
      <c r="AD119" s="5"/>
    </row>
    <row r="120" spans="1:30" s="69" customFormat="1" ht="45" customHeight="1" x14ac:dyDescent="0.35">
      <c r="A120" s="15" t="s">
        <v>758</v>
      </c>
      <c r="B120" s="102" t="s">
        <v>225</v>
      </c>
      <c r="C120" s="90" t="s">
        <v>472</v>
      </c>
      <c r="D120" s="28">
        <v>45974</v>
      </c>
      <c r="E120" s="28">
        <v>45988</v>
      </c>
      <c r="F120" s="8"/>
      <c r="G120" s="8"/>
      <c r="H120" s="8"/>
      <c r="I120" s="8"/>
      <c r="J120" s="8"/>
      <c r="K120" s="8"/>
      <c r="L120" s="104"/>
      <c r="M120" s="163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7">
        <f t="shared" si="1"/>
        <v>0</v>
      </c>
      <c r="AD120" s="5"/>
    </row>
    <row r="121" spans="1:30" s="69" customFormat="1" ht="45" customHeight="1" x14ac:dyDescent="0.35">
      <c r="A121" s="15" t="s">
        <v>759</v>
      </c>
      <c r="B121" s="102" t="s">
        <v>226</v>
      </c>
      <c r="C121" s="90" t="s">
        <v>473</v>
      </c>
      <c r="D121" s="28">
        <v>45975</v>
      </c>
      <c r="E121" s="90"/>
      <c r="F121" s="8"/>
      <c r="G121" s="8"/>
      <c r="H121" s="8"/>
      <c r="I121" s="8"/>
      <c r="J121" s="8"/>
      <c r="K121" s="8"/>
      <c r="L121" s="104"/>
      <c r="M121" s="163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7">
        <f t="shared" si="1"/>
        <v>0</v>
      </c>
      <c r="AD121" s="5"/>
    </row>
    <row r="122" spans="1:30" s="69" customFormat="1" ht="45" customHeight="1" x14ac:dyDescent="0.35">
      <c r="A122" s="15" t="s">
        <v>760</v>
      </c>
      <c r="B122" s="102" t="s">
        <v>227</v>
      </c>
      <c r="C122" s="90" t="s">
        <v>474</v>
      </c>
      <c r="D122" s="28">
        <v>45976</v>
      </c>
      <c r="E122" s="28">
        <v>45988</v>
      </c>
      <c r="F122" s="8"/>
      <c r="G122" s="8"/>
      <c r="H122" s="8"/>
      <c r="I122" s="8"/>
      <c r="J122" s="8"/>
      <c r="K122" s="8"/>
      <c r="L122" s="104"/>
      <c r="M122" s="163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7">
        <f t="shared" si="1"/>
        <v>0</v>
      </c>
      <c r="AD122" s="5"/>
    </row>
    <row r="123" spans="1:30" s="69" customFormat="1" ht="45" customHeight="1" x14ac:dyDescent="0.35">
      <c r="A123" s="15" t="s">
        <v>761</v>
      </c>
      <c r="B123" s="97" t="s">
        <v>228</v>
      </c>
      <c r="C123" s="90" t="s">
        <v>475</v>
      </c>
      <c r="D123" s="28">
        <v>45980</v>
      </c>
      <c r="E123" s="28">
        <v>45988</v>
      </c>
      <c r="F123" s="8"/>
      <c r="G123" s="8"/>
      <c r="H123" s="8"/>
      <c r="I123" s="8"/>
      <c r="J123" s="8"/>
      <c r="K123" s="8"/>
      <c r="L123" s="104"/>
      <c r="M123" s="163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7">
        <f t="shared" si="1"/>
        <v>0</v>
      </c>
      <c r="AD123" s="5"/>
    </row>
    <row r="124" spans="1:30" s="69" customFormat="1" ht="45" customHeight="1" x14ac:dyDescent="0.35">
      <c r="A124" s="15" t="s">
        <v>762</v>
      </c>
      <c r="B124" s="97" t="s">
        <v>229</v>
      </c>
      <c r="C124" s="90" t="s">
        <v>476</v>
      </c>
      <c r="D124" s="28">
        <v>45980</v>
      </c>
      <c r="E124" s="90"/>
      <c r="F124" s="8"/>
      <c r="G124" s="8"/>
      <c r="H124" s="8"/>
      <c r="I124" s="8"/>
      <c r="J124" s="8"/>
      <c r="K124" s="8"/>
      <c r="L124" s="104"/>
      <c r="M124" s="163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7">
        <f t="shared" si="1"/>
        <v>0</v>
      </c>
      <c r="AD124" s="5"/>
    </row>
    <row r="125" spans="1:30" s="69" customFormat="1" ht="45" customHeight="1" x14ac:dyDescent="0.35">
      <c r="A125" s="15" t="s">
        <v>763</v>
      </c>
      <c r="B125" s="97" t="s">
        <v>230</v>
      </c>
      <c r="C125" s="90" t="s">
        <v>477</v>
      </c>
      <c r="D125" s="28">
        <v>45980</v>
      </c>
      <c r="E125" s="28">
        <v>45988</v>
      </c>
      <c r="F125" s="8"/>
      <c r="G125" s="8"/>
      <c r="H125" s="8"/>
      <c r="I125" s="8"/>
      <c r="J125" s="8"/>
      <c r="K125" s="8"/>
      <c r="L125" s="104"/>
      <c r="M125" s="163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7">
        <f t="shared" si="1"/>
        <v>0</v>
      </c>
      <c r="AD125" s="5"/>
    </row>
    <row r="126" spans="1:30" s="69" customFormat="1" ht="45" customHeight="1" x14ac:dyDescent="0.35">
      <c r="A126" s="15" t="s">
        <v>764</v>
      </c>
      <c r="B126" s="97" t="s">
        <v>231</v>
      </c>
      <c r="C126" s="90" t="s">
        <v>478</v>
      </c>
      <c r="D126" s="28">
        <v>45981</v>
      </c>
      <c r="E126" s="28">
        <v>45988</v>
      </c>
      <c r="F126" s="8"/>
      <c r="G126" s="8"/>
      <c r="H126" s="8"/>
      <c r="I126" s="8"/>
      <c r="J126" s="8"/>
      <c r="K126" s="8"/>
      <c r="L126" s="104"/>
      <c r="M126" s="163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7">
        <f t="shared" si="1"/>
        <v>0</v>
      </c>
      <c r="AD126" s="5"/>
    </row>
    <row r="127" spans="1:30" s="69" customFormat="1" ht="45" customHeight="1" x14ac:dyDescent="0.35">
      <c r="A127" s="15" t="s">
        <v>765</v>
      </c>
      <c r="B127" s="97" t="s">
        <v>232</v>
      </c>
      <c r="C127" s="90" t="s">
        <v>479</v>
      </c>
      <c r="D127" s="28">
        <v>45981</v>
      </c>
      <c r="E127" s="28">
        <v>45988</v>
      </c>
      <c r="F127" s="8"/>
      <c r="G127" s="8"/>
      <c r="H127" s="8"/>
      <c r="I127" s="8"/>
      <c r="J127" s="8"/>
      <c r="K127" s="8"/>
      <c r="L127" s="104"/>
      <c r="M127" s="163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7">
        <f t="shared" si="1"/>
        <v>0</v>
      </c>
      <c r="AD127" s="5"/>
    </row>
    <row r="128" spans="1:30" s="69" customFormat="1" ht="45" customHeight="1" x14ac:dyDescent="0.35">
      <c r="A128" s="15" t="s">
        <v>766</v>
      </c>
      <c r="B128" s="97" t="s">
        <v>233</v>
      </c>
      <c r="C128" s="90" t="s">
        <v>480</v>
      </c>
      <c r="D128" s="28">
        <v>45982</v>
      </c>
      <c r="E128" s="90"/>
      <c r="F128" s="8"/>
      <c r="G128" s="8"/>
      <c r="H128" s="8"/>
      <c r="I128" s="8"/>
      <c r="J128" s="8"/>
      <c r="K128" s="8"/>
      <c r="L128" s="104"/>
      <c r="M128" s="163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7">
        <f t="shared" si="1"/>
        <v>0</v>
      </c>
      <c r="AD128" s="5"/>
    </row>
    <row r="129" spans="1:30" s="69" customFormat="1" ht="45" customHeight="1" x14ac:dyDescent="0.35">
      <c r="A129" s="15" t="s">
        <v>767</v>
      </c>
      <c r="B129" s="97" t="s">
        <v>234</v>
      </c>
      <c r="C129" s="90" t="s">
        <v>481</v>
      </c>
      <c r="D129" s="28">
        <v>45995</v>
      </c>
      <c r="E129" s="90"/>
      <c r="F129" s="8"/>
      <c r="G129" s="8"/>
      <c r="H129" s="8"/>
      <c r="I129" s="8"/>
      <c r="J129" s="8"/>
      <c r="K129" s="8"/>
      <c r="L129" s="104"/>
      <c r="M129" s="163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7">
        <f t="shared" si="1"/>
        <v>0</v>
      </c>
      <c r="AD129" s="5"/>
    </row>
    <row r="130" spans="1:30" s="69" customFormat="1" ht="45" customHeight="1" x14ac:dyDescent="0.35">
      <c r="A130" s="15" t="s">
        <v>768</v>
      </c>
      <c r="B130" s="97" t="s">
        <v>235</v>
      </c>
      <c r="C130" s="90" t="s">
        <v>482</v>
      </c>
      <c r="D130" s="28">
        <v>45995</v>
      </c>
      <c r="E130" s="90"/>
      <c r="F130" s="8"/>
      <c r="G130" s="8"/>
      <c r="H130" s="8"/>
      <c r="I130" s="8"/>
      <c r="J130" s="8"/>
      <c r="K130" s="8"/>
      <c r="L130" s="104"/>
      <c r="M130" s="163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7">
        <f t="shared" si="1"/>
        <v>0</v>
      </c>
      <c r="AD130" s="5"/>
    </row>
    <row r="131" spans="1:30" s="69" customFormat="1" ht="45" customHeight="1" x14ac:dyDescent="0.35">
      <c r="A131" s="15" t="s">
        <v>769</v>
      </c>
      <c r="B131" s="97" t="s">
        <v>236</v>
      </c>
      <c r="C131" s="90" t="s">
        <v>483</v>
      </c>
      <c r="D131" s="28">
        <v>45995</v>
      </c>
      <c r="E131" s="90"/>
      <c r="F131" s="8"/>
      <c r="G131" s="8"/>
      <c r="H131" s="8"/>
      <c r="I131" s="8"/>
      <c r="J131" s="8"/>
      <c r="K131" s="8"/>
      <c r="L131" s="104"/>
      <c r="M131" s="163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7">
        <f t="shared" si="1"/>
        <v>0</v>
      </c>
      <c r="AD131" s="5"/>
    </row>
    <row r="132" spans="1:30" s="69" customFormat="1" ht="45" customHeight="1" x14ac:dyDescent="0.35">
      <c r="A132" s="15" t="s">
        <v>770</v>
      </c>
      <c r="B132" s="97" t="s">
        <v>237</v>
      </c>
      <c r="C132" s="90" t="s">
        <v>484</v>
      </c>
      <c r="D132" s="28">
        <v>46001</v>
      </c>
      <c r="E132" s="28">
        <v>46020</v>
      </c>
      <c r="F132" s="8"/>
      <c r="G132" s="8"/>
      <c r="H132" s="8"/>
      <c r="I132" s="8"/>
      <c r="J132" s="8"/>
      <c r="K132" s="8"/>
      <c r="L132" s="104"/>
      <c r="M132" s="163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7">
        <f t="shared" si="1"/>
        <v>0</v>
      </c>
      <c r="AD132" s="5"/>
    </row>
    <row r="133" spans="1:30" s="69" customFormat="1" ht="45" customHeight="1" x14ac:dyDescent="0.35">
      <c r="A133" s="15" t="s">
        <v>771</v>
      </c>
      <c r="B133" s="97" t="s">
        <v>238</v>
      </c>
      <c r="C133" s="90" t="s">
        <v>485</v>
      </c>
      <c r="D133" s="28">
        <v>46002</v>
      </c>
      <c r="E133" s="28">
        <v>46019</v>
      </c>
      <c r="F133" s="8"/>
      <c r="G133" s="8"/>
      <c r="H133" s="8"/>
      <c r="I133" s="8"/>
      <c r="J133" s="8"/>
      <c r="K133" s="8"/>
      <c r="L133" s="104"/>
      <c r="M133" s="163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7">
        <f t="shared" ref="AC133:AC196" si="2">+(L133+M133)-O133-R133-U133-X133-AA133</f>
        <v>0</v>
      </c>
      <c r="AD133" s="5"/>
    </row>
    <row r="134" spans="1:30" s="69" customFormat="1" ht="45" customHeight="1" x14ac:dyDescent="0.35">
      <c r="A134" s="15" t="s">
        <v>772</v>
      </c>
      <c r="B134" s="97" t="s">
        <v>239</v>
      </c>
      <c r="C134" s="90" t="s">
        <v>486</v>
      </c>
      <c r="D134" s="28">
        <v>46003</v>
      </c>
      <c r="E134" s="28">
        <v>46020</v>
      </c>
      <c r="F134" s="8"/>
      <c r="G134" s="8"/>
      <c r="H134" s="8"/>
      <c r="I134" s="8"/>
      <c r="J134" s="8"/>
      <c r="K134" s="8"/>
      <c r="L134" s="104"/>
      <c r="M134" s="163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7">
        <f t="shared" si="2"/>
        <v>0</v>
      </c>
      <c r="AD134" s="5"/>
    </row>
    <row r="135" spans="1:30" s="69" customFormat="1" ht="45" customHeight="1" x14ac:dyDescent="0.35">
      <c r="A135" s="15" t="s">
        <v>773</v>
      </c>
      <c r="B135" s="97" t="s">
        <v>240</v>
      </c>
      <c r="C135" s="90" t="s">
        <v>487</v>
      </c>
      <c r="D135" s="28">
        <v>46004</v>
      </c>
      <c r="E135" s="28">
        <v>46020</v>
      </c>
      <c r="F135" s="8"/>
      <c r="G135" s="8"/>
      <c r="H135" s="8"/>
      <c r="I135" s="8"/>
      <c r="J135" s="8"/>
      <c r="K135" s="8"/>
      <c r="L135" s="104"/>
      <c r="M135" s="163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7">
        <f t="shared" si="2"/>
        <v>0</v>
      </c>
      <c r="AD135" s="5"/>
    </row>
    <row r="136" spans="1:30" s="69" customFormat="1" ht="45" customHeight="1" x14ac:dyDescent="0.35">
      <c r="A136" s="15" t="s">
        <v>774</v>
      </c>
      <c r="B136" s="97" t="s">
        <v>241</v>
      </c>
      <c r="C136" s="90" t="s">
        <v>488</v>
      </c>
      <c r="D136" s="28">
        <v>46005</v>
      </c>
      <c r="E136" s="90"/>
      <c r="F136" s="8"/>
      <c r="G136" s="8"/>
      <c r="H136" s="8"/>
      <c r="I136" s="8"/>
      <c r="J136" s="8"/>
      <c r="K136" s="8"/>
      <c r="L136" s="104"/>
      <c r="M136" s="163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7">
        <f t="shared" si="2"/>
        <v>0</v>
      </c>
      <c r="AD136" s="5"/>
    </row>
    <row r="137" spans="1:30" s="69" customFormat="1" ht="45" customHeight="1" x14ac:dyDescent="0.35">
      <c r="A137" s="15" t="s">
        <v>775</v>
      </c>
      <c r="B137" s="97" t="s">
        <v>242</v>
      </c>
      <c r="C137" s="90" t="s">
        <v>489</v>
      </c>
      <c r="D137" s="28">
        <v>46006</v>
      </c>
      <c r="E137" s="28">
        <v>46149</v>
      </c>
      <c r="F137" s="8"/>
      <c r="G137" s="8"/>
      <c r="H137" s="8"/>
      <c r="I137" s="8"/>
      <c r="J137" s="8"/>
      <c r="K137" s="8"/>
      <c r="L137" s="104"/>
      <c r="M137" s="163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7">
        <f t="shared" si="2"/>
        <v>0</v>
      </c>
      <c r="AD137" s="5"/>
    </row>
    <row r="138" spans="1:30" s="69" customFormat="1" ht="45" customHeight="1" x14ac:dyDescent="0.35">
      <c r="A138" s="15" t="s">
        <v>776</v>
      </c>
      <c r="B138" s="97" t="s">
        <v>243</v>
      </c>
      <c r="C138" s="90" t="s">
        <v>490</v>
      </c>
      <c r="D138" s="28">
        <v>46007</v>
      </c>
      <c r="E138" s="90"/>
      <c r="F138" s="8"/>
      <c r="G138" s="8"/>
      <c r="H138" s="8"/>
      <c r="I138" s="8"/>
      <c r="J138" s="8"/>
      <c r="K138" s="8"/>
      <c r="L138" s="104"/>
      <c r="M138" s="163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7">
        <f t="shared" si="2"/>
        <v>0</v>
      </c>
      <c r="AD138" s="5"/>
    </row>
    <row r="139" spans="1:30" s="69" customFormat="1" ht="45" customHeight="1" x14ac:dyDescent="0.35">
      <c r="A139" s="15" t="s">
        <v>777</v>
      </c>
      <c r="B139" s="97" t="s">
        <v>244</v>
      </c>
      <c r="C139" s="90" t="s">
        <v>491</v>
      </c>
      <c r="D139" s="28">
        <v>46008</v>
      </c>
      <c r="E139" s="90"/>
      <c r="F139" s="8"/>
      <c r="G139" s="8"/>
      <c r="H139" s="8"/>
      <c r="I139" s="8"/>
      <c r="J139" s="8"/>
      <c r="K139" s="8"/>
      <c r="L139" s="104"/>
      <c r="M139" s="163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7">
        <f t="shared" si="2"/>
        <v>0</v>
      </c>
      <c r="AD139" s="5"/>
    </row>
    <row r="140" spans="1:30" s="69" customFormat="1" ht="45" customHeight="1" x14ac:dyDescent="0.35">
      <c r="A140" s="15" t="s">
        <v>778</v>
      </c>
      <c r="B140" s="97" t="s">
        <v>245</v>
      </c>
      <c r="C140" s="90" t="s">
        <v>492</v>
      </c>
      <c r="D140" s="28">
        <v>46008</v>
      </c>
      <c r="E140" s="90"/>
      <c r="F140" s="8"/>
      <c r="G140" s="8"/>
      <c r="H140" s="8"/>
      <c r="I140" s="8"/>
      <c r="J140" s="8"/>
      <c r="K140" s="8"/>
      <c r="L140" s="104"/>
      <c r="M140" s="163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7">
        <f t="shared" si="2"/>
        <v>0</v>
      </c>
      <c r="AD140" s="5"/>
    </row>
    <row r="141" spans="1:30" s="69" customFormat="1" ht="45" customHeight="1" x14ac:dyDescent="0.35">
      <c r="A141" s="15" t="s">
        <v>779</v>
      </c>
      <c r="B141" s="97" t="s">
        <v>246</v>
      </c>
      <c r="C141" s="90" t="s">
        <v>493</v>
      </c>
      <c r="D141" s="28">
        <v>46008</v>
      </c>
      <c r="E141" s="90"/>
      <c r="F141" s="8"/>
      <c r="G141" s="8"/>
      <c r="H141" s="8"/>
      <c r="I141" s="8"/>
      <c r="J141" s="8"/>
      <c r="K141" s="8"/>
      <c r="L141" s="104"/>
      <c r="M141" s="163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7">
        <f t="shared" si="2"/>
        <v>0</v>
      </c>
      <c r="AD141" s="5"/>
    </row>
    <row r="142" spans="1:30" s="69" customFormat="1" ht="45" customHeight="1" x14ac:dyDescent="0.35">
      <c r="A142" s="15" t="s">
        <v>780</v>
      </c>
      <c r="B142" s="97" t="s">
        <v>247</v>
      </c>
      <c r="C142" s="90" t="s">
        <v>494</v>
      </c>
      <c r="D142" s="28">
        <v>46008</v>
      </c>
      <c r="E142" s="90"/>
      <c r="F142" s="8"/>
      <c r="G142" s="8"/>
      <c r="H142" s="8"/>
      <c r="I142" s="8"/>
      <c r="J142" s="8"/>
      <c r="K142" s="8"/>
      <c r="L142" s="104"/>
      <c r="M142" s="163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7">
        <f t="shared" si="2"/>
        <v>0</v>
      </c>
      <c r="AD142" s="5"/>
    </row>
    <row r="143" spans="1:30" s="69" customFormat="1" ht="45" customHeight="1" x14ac:dyDescent="0.35">
      <c r="A143" s="15" t="s">
        <v>781</v>
      </c>
      <c r="B143" s="97" t="s">
        <v>248</v>
      </c>
      <c r="C143" s="90" t="s">
        <v>495</v>
      </c>
      <c r="D143" s="28">
        <v>46008</v>
      </c>
      <c r="E143" s="28">
        <v>46020</v>
      </c>
      <c r="F143" s="11" t="s">
        <v>1198</v>
      </c>
      <c r="G143" s="8">
        <v>122</v>
      </c>
      <c r="H143" s="11" t="s">
        <v>1199</v>
      </c>
      <c r="I143" s="8"/>
      <c r="J143" s="8"/>
      <c r="K143" s="8"/>
      <c r="L143" s="104"/>
      <c r="M143" s="163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7">
        <f t="shared" si="2"/>
        <v>0</v>
      </c>
      <c r="AD143" s="5"/>
    </row>
    <row r="144" spans="1:30" s="69" customFormat="1" ht="45" customHeight="1" x14ac:dyDescent="0.35">
      <c r="A144" s="15" t="s">
        <v>782</v>
      </c>
      <c r="B144" s="97" t="s">
        <v>249</v>
      </c>
      <c r="C144" s="90" t="s">
        <v>496</v>
      </c>
      <c r="D144" s="28">
        <v>46008</v>
      </c>
      <c r="E144" s="90"/>
      <c r="F144" s="8"/>
      <c r="G144" s="8"/>
      <c r="H144" s="8"/>
      <c r="I144" s="8"/>
      <c r="J144" s="8"/>
      <c r="K144" s="8"/>
      <c r="L144" s="104"/>
      <c r="M144" s="163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7">
        <f t="shared" si="2"/>
        <v>0</v>
      </c>
      <c r="AD144" s="5"/>
    </row>
    <row r="145" spans="1:30" s="69" customFormat="1" ht="45" customHeight="1" x14ac:dyDescent="0.35">
      <c r="A145" s="15" t="s">
        <v>783</v>
      </c>
      <c r="B145" s="97" t="s">
        <v>250</v>
      </c>
      <c r="C145" s="90" t="s">
        <v>497</v>
      </c>
      <c r="D145" s="28">
        <v>46008</v>
      </c>
      <c r="E145" s="186"/>
      <c r="F145" s="8"/>
      <c r="G145" s="8"/>
      <c r="H145" s="8"/>
      <c r="I145" s="8"/>
      <c r="J145" s="8"/>
      <c r="K145" s="8"/>
      <c r="L145" s="104"/>
      <c r="M145" s="163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7">
        <f t="shared" si="2"/>
        <v>0</v>
      </c>
      <c r="AD145" s="5"/>
    </row>
    <row r="146" spans="1:30" s="69" customFormat="1" ht="45" customHeight="1" x14ac:dyDescent="0.35">
      <c r="A146" s="155" t="s">
        <v>784</v>
      </c>
      <c r="B146" s="156" t="s">
        <v>251</v>
      </c>
      <c r="C146" s="157" t="s">
        <v>498</v>
      </c>
      <c r="D146" s="158">
        <v>46024</v>
      </c>
      <c r="E146" s="157"/>
      <c r="F146" s="146" t="s">
        <v>1030</v>
      </c>
      <c r="G146" s="144">
        <v>1225</v>
      </c>
      <c r="H146" s="144" t="s">
        <v>1083</v>
      </c>
      <c r="I146" s="144"/>
      <c r="J146" s="144"/>
      <c r="K146" s="144"/>
      <c r="L146" s="159">
        <v>70000</v>
      </c>
      <c r="M146" s="144"/>
      <c r="N146" s="147">
        <v>45879</v>
      </c>
      <c r="O146" s="82">
        <v>35000</v>
      </c>
      <c r="P146" s="144" t="s">
        <v>19</v>
      </c>
      <c r="Q146" s="147">
        <v>45700</v>
      </c>
      <c r="R146" s="82">
        <v>35000</v>
      </c>
      <c r="S146" s="144" t="s">
        <v>19</v>
      </c>
      <c r="T146" s="147"/>
      <c r="U146" s="82"/>
      <c r="V146" s="144"/>
      <c r="W146" s="147"/>
      <c r="X146" s="82"/>
      <c r="Y146" s="144"/>
      <c r="Z146" s="147"/>
      <c r="AA146" s="82"/>
      <c r="AB146" s="144"/>
      <c r="AC146" s="7">
        <f t="shared" si="2"/>
        <v>0</v>
      </c>
      <c r="AD146" s="5"/>
    </row>
    <row r="147" spans="1:30" s="69" customFormat="1" ht="59.5" customHeight="1" x14ac:dyDescent="0.35">
      <c r="A147" s="15" t="s">
        <v>785</v>
      </c>
      <c r="B147" s="97" t="s">
        <v>252</v>
      </c>
      <c r="C147" s="90" t="s">
        <v>499</v>
      </c>
      <c r="D147" s="28">
        <v>46014</v>
      </c>
      <c r="E147" s="90"/>
      <c r="F147" s="11" t="s">
        <v>1401</v>
      </c>
      <c r="G147" s="8"/>
      <c r="H147" s="8"/>
      <c r="I147" s="8"/>
      <c r="J147" s="8"/>
      <c r="K147" s="8"/>
      <c r="L147" s="104">
        <f>156000+100</f>
        <v>156100</v>
      </c>
      <c r="M147" s="163"/>
      <c r="N147" s="59">
        <v>46231</v>
      </c>
      <c r="O147" s="5">
        <v>50000</v>
      </c>
      <c r="P147" s="5" t="s">
        <v>1400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7">
        <f t="shared" si="2"/>
        <v>106100</v>
      </c>
      <c r="AD147" s="5"/>
    </row>
    <row r="148" spans="1:30" s="69" customFormat="1" ht="45" customHeight="1" x14ac:dyDescent="0.35">
      <c r="A148" s="15" t="s">
        <v>786</v>
      </c>
      <c r="B148" s="97" t="s">
        <v>253</v>
      </c>
      <c r="C148" s="90" t="s">
        <v>500</v>
      </c>
      <c r="D148" s="28">
        <v>46024</v>
      </c>
      <c r="E148" s="90"/>
      <c r="F148" s="8"/>
      <c r="G148" s="8"/>
      <c r="H148" s="8"/>
      <c r="I148" s="8"/>
      <c r="J148" s="8"/>
      <c r="K148" s="8"/>
      <c r="L148" s="104"/>
      <c r="M148" s="163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7">
        <f t="shared" si="2"/>
        <v>0</v>
      </c>
      <c r="AD148" s="5"/>
    </row>
    <row r="149" spans="1:30" s="69" customFormat="1" ht="45" customHeight="1" x14ac:dyDescent="0.35">
      <c r="A149" s="15" t="s">
        <v>787</v>
      </c>
      <c r="B149" s="97" t="s">
        <v>254</v>
      </c>
      <c r="C149" s="90" t="s">
        <v>501</v>
      </c>
      <c r="D149" s="28">
        <v>46024</v>
      </c>
      <c r="E149" s="28">
        <v>46031</v>
      </c>
      <c r="F149" s="8"/>
      <c r="G149" s="8"/>
      <c r="H149" s="8"/>
      <c r="I149" s="8"/>
      <c r="J149" s="8"/>
      <c r="K149" s="8"/>
      <c r="L149" s="104"/>
      <c r="M149" s="163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7">
        <f t="shared" si="2"/>
        <v>0</v>
      </c>
      <c r="AD149" s="5"/>
    </row>
    <row r="150" spans="1:30" s="69" customFormat="1" ht="45" customHeight="1" x14ac:dyDescent="0.35">
      <c r="A150" s="15" t="s">
        <v>788</v>
      </c>
      <c r="B150" s="97" t="s">
        <v>255</v>
      </c>
      <c r="C150" s="90" t="s">
        <v>502</v>
      </c>
      <c r="D150" s="28">
        <v>46024</v>
      </c>
      <c r="E150" s="28">
        <v>46031</v>
      </c>
      <c r="F150" s="8"/>
      <c r="G150" s="8"/>
      <c r="H150" s="8"/>
      <c r="I150" s="8"/>
      <c r="J150" s="8"/>
      <c r="K150" s="8"/>
      <c r="L150" s="104"/>
      <c r="M150" s="163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7">
        <f t="shared" si="2"/>
        <v>0</v>
      </c>
      <c r="AD150" s="5"/>
    </row>
    <row r="151" spans="1:30" s="69" customFormat="1" ht="45" customHeight="1" x14ac:dyDescent="0.35">
      <c r="A151" s="15" t="s">
        <v>789</v>
      </c>
      <c r="B151" s="97" t="s">
        <v>256</v>
      </c>
      <c r="C151" s="90" t="s">
        <v>503</v>
      </c>
      <c r="D151" s="28">
        <v>46024</v>
      </c>
      <c r="E151" s="28">
        <v>46031</v>
      </c>
      <c r="F151" s="8"/>
      <c r="G151" s="8"/>
      <c r="H151" s="8"/>
      <c r="I151" s="8"/>
      <c r="J151" s="8"/>
      <c r="K151" s="8"/>
      <c r="L151" s="104"/>
      <c r="M151" s="163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7">
        <f t="shared" si="2"/>
        <v>0</v>
      </c>
      <c r="AD151" s="5"/>
    </row>
    <row r="152" spans="1:30" s="69" customFormat="1" ht="45" customHeight="1" x14ac:dyDescent="0.35">
      <c r="A152" s="15" t="s">
        <v>790</v>
      </c>
      <c r="B152" s="97" t="s">
        <v>251</v>
      </c>
      <c r="C152" s="90"/>
      <c r="D152" s="28"/>
      <c r="E152" s="90"/>
      <c r="F152" s="60" t="s">
        <v>1035</v>
      </c>
      <c r="G152" s="8">
        <v>27773</v>
      </c>
      <c r="H152" s="11" t="s">
        <v>1084</v>
      </c>
      <c r="I152" s="8"/>
      <c r="J152" s="8"/>
      <c r="K152" s="58">
        <v>46062</v>
      </c>
      <c r="L152" s="55">
        <v>45000</v>
      </c>
      <c r="M152" s="16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7">
        <f t="shared" si="2"/>
        <v>45000</v>
      </c>
      <c r="AD152" s="5"/>
    </row>
    <row r="153" spans="1:30" s="69" customFormat="1" ht="45" customHeight="1" x14ac:dyDescent="0.35">
      <c r="A153" s="15" t="s">
        <v>791</v>
      </c>
      <c r="B153" s="97" t="s">
        <v>257</v>
      </c>
      <c r="C153" s="90" t="s">
        <v>504</v>
      </c>
      <c r="D153" s="28">
        <v>46028</v>
      </c>
      <c r="E153" s="90"/>
      <c r="F153" s="8"/>
      <c r="G153" s="8"/>
      <c r="H153" s="8"/>
      <c r="I153" s="8"/>
      <c r="J153" s="8"/>
      <c r="K153" s="8"/>
      <c r="L153" s="104"/>
      <c r="M153" s="163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7">
        <f t="shared" si="2"/>
        <v>0</v>
      </c>
      <c r="AD153" s="5"/>
    </row>
    <row r="154" spans="1:30" s="69" customFormat="1" ht="45" customHeight="1" x14ac:dyDescent="0.35">
      <c r="A154" s="15" t="s">
        <v>792</v>
      </c>
      <c r="B154" s="97" t="s">
        <v>258</v>
      </c>
      <c r="C154" s="90" t="s">
        <v>505</v>
      </c>
      <c r="D154" s="28">
        <v>46029</v>
      </c>
      <c r="E154" s="28">
        <v>46031</v>
      </c>
      <c r="F154" s="11" t="s">
        <v>1200</v>
      </c>
      <c r="G154" s="8">
        <v>78</v>
      </c>
      <c r="H154" s="58" t="s">
        <v>1201</v>
      </c>
      <c r="I154" s="8"/>
      <c r="J154" s="8"/>
      <c r="K154" s="8"/>
      <c r="L154" s="104"/>
      <c r="M154" s="163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7">
        <f t="shared" si="2"/>
        <v>0</v>
      </c>
      <c r="AD154" s="5"/>
    </row>
    <row r="155" spans="1:30" s="69" customFormat="1" ht="45" customHeight="1" x14ac:dyDescent="0.35">
      <c r="A155" s="15" t="s">
        <v>793</v>
      </c>
      <c r="B155" s="97" t="s">
        <v>259</v>
      </c>
      <c r="C155" s="90" t="s">
        <v>506</v>
      </c>
      <c r="D155" s="28">
        <v>46029</v>
      </c>
      <c r="E155" s="90"/>
      <c r="F155" s="8"/>
      <c r="G155" s="8"/>
      <c r="H155" s="8"/>
      <c r="I155" s="8"/>
      <c r="J155" s="8"/>
      <c r="K155" s="8"/>
      <c r="L155" s="104"/>
      <c r="M155" s="163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7">
        <f t="shared" si="2"/>
        <v>0</v>
      </c>
      <c r="AD155" s="5"/>
    </row>
    <row r="156" spans="1:30" s="69" customFormat="1" ht="45" customHeight="1" x14ac:dyDescent="0.35">
      <c r="A156" s="15" t="s">
        <v>794</v>
      </c>
      <c r="B156" s="97" t="s">
        <v>260</v>
      </c>
      <c r="C156" s="90" t="s">
        <v>1281</v>
      </c>
      <c r="D156" s="28">
        <v>46029</v>
      </c>
      <c r="E156" s="186"/>
      <c r="F156" s="8"/>
      <c r="G156" s="8"/>
      <c r="H156" s="8"/>
      <c r="I156" s="8"/>
      <c r="J156" s="8"/>
      <c r="K156" s="8"/>
      <c r="L156" s="104"/>
      <c r="M156" s="163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7">
        <f t="shared" si="2"/>
        <v>0</v>
      </c>
      <c r="AD156" s="5"/>
    </row>
    <row r="157" spans="1:30" s="69" customFormat="1" ht="45" customHeight="1" x14ac:dyDescent="0.35">
      <c r="A157" s="15" t="s">
        <v>795</v>
      </c>
      <c r="B157" s="97" t="s">
        <v>261</v>
      </c>
      <c r="C157" s="90" t="s">
        <v>507</v>
      </c>
      <c r="D157" s="28">
        <v>46029</v>
      </c>
      <c r="E157" s="90"/>
      <c r="F157" s="8"/>
      <c r="G157" s="8"/>
      <c r="H157" s="8"/>
      <c r="I157" s="8"/>
      <c r="J157" s="8"/>
      <c r="K157" s="8"/>
      <c r="L157" s="104"/>
      <c r="M157" s="163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7">
        <f t="shared" si="2"/>
        <v>0</v>
      </c>
      <c r="AD157" s="5"/>
    </row>
    <row r="158" spans="1:30" s="69" customFormat="1" ht="45" customHeight="1" x14ac:dyDescent="0.35">
      <c r="A158" s="15" t="s">
        <v>796</v>
      </c>
      <c r="B158" s="97" t="s">
        <v>262</v>
      </c>
      <c r="C158" s="90" t="s">
        <v>508</v>
      </c>
      <c r="D158" s="28">
        <v>46029</v>
      </c>
      <c r="E158" s="28">
        <v>46031</v>
      </c>
      <c r="F158" s="11" t="s">
        <v>1196</v>
      </c>
      <c r="G158" s="8">
        <v>58</v>
      </c>
      <c r="H158" s="8" t="s">
        <v>1202</v>
      </c>
      <c r="I158" s="8"/>
      <c r="J158" s="8"/>
      <c r="K158" s="8"/>
      <c r="L158" s="104"/>
      <c r="M158" s="163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7">
        <f t="shared" si="2"/>
        <v>0</v>
      </c>
      <c r="AD158" s="5"/>
    </row>
    <row r="159" spans="1:30" s="69" customFormat="1" ht="45" customHeight="1" x14ac:dyDescent="0.35">
      <c r="A159" s="15" t="s">
        <v>797</v>
      </c>
      <c r="B159" s="97" t="s">
        <v>263</v>
      </c>
      <c r="C159" s="90" t="s">
        <v>509</v>
      </c>
      <c r="D159" s="28">
        <v>46037</v>
      </c>
      <c r="E159" s="28">
        <v>46149</v>
      </c>
      <c r="F159" s="8"/>
      <c r="G159" s="8"/>
      <c r="H159" s="8"/>
      <c r="I159" s="8"/>
      <c r="J159" s="8"/>
      <c r="K159" s="8"/>
      <c r="L159" s="104"/>
      <c r="M159" s="163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7">
        <f t="shared" si="2"/>
        <v>0</v>
      </c>
      <c r="AD159" s="5"/>
    </row>
    <row r="160" spans="1:30" s="69" customFormat="1" ht="45" customHeight="1" x14ac:dyDescent="0.35">
      <c r="A160" s="15" t="s">
        <v>798</v>
      </c>
      <c r="B160" s="97" t="s">
        <v>264</v>
      </c>
      <c r="C160" s="90" t="s">
        <v>510</v>
      </c>
      <c r="D160" s="28">
        <v>46037</v>
      </c>
      <c r="E160" s="186"/>
      <c r="F160" s="8"/>
      <c r="G160" s="8"/>
      <c r="H160" s="8"/>
      <c r="I160" s="8"/>
      <c r="J160" s="8"/>
      <c r="K160" s="8"/>
      <c r="L160" s="104"/>
      <c r="M160" s="163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7">
        <f t="shared" si="2"/>
        <v>0</v>
      </c>
      <c r="AD160" s="5"/>
    </row>
    <row r="161" spans="1:30" s="69" customFormat="1" ht="45" customHeight="1" x14ac:dyDescent="0.35">
      <c r="A161" s="15" t="s">
        <v>799</v>
      </c>
      <c r="B161" s="97" t="s">
        <v>265</v>
      </c>
      <c r="C161" s="90" t="s">
        <v>511</v>
      </c>
      <c r="D161" s="28">
        <v>46037</v>
      </c>
      <c r="E161" s="28">
        <v>46109</v>
      </c>
      <c r="F161" s="8"/>
      <c r="G161" s="8"/>
      <c r="H161" s="8"/>
      <c r="I161" s="8"/>
      <c r="J161" s="8"/>
      <c r="K161" s="8"/>
      <c r="L161" s="104"/>
      <c r="M161" s="163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7">
        <f t="shared" si="2"/>
        <v>0</v>
      </c>
      <c r="AD161" s="5"/>
    </row>
    <row r="162" spans="1:30" s="69" customFormat="1" ht="45" customHeight="1" x14ac:dyDescent="0.35">
      <c r="A162" s="15" t="s">
        <v>800</v>
      </c>
      <c r="B162" s="97" t="s">
        <v>266</v>
      </c>
      <c r="C162" s="90" t="s">
        <v>512</v>
      </c>
      <c r="D162" s="28">
        <v>46037</v>
      </c>
      <c r="E162" s="28">
        <v>46109</v>
      </c>
      <c r="F162" s="8"/>
      <c r="G162" s="8"/>
      <c r="H162" s="8"/>
      <c r="I162" s="8"/>
      <c r="J162" s="8"/>
      <c r="K162" s="8"/>
      <c r="L162" s="104"/>
      <c r="M162" s="163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7">
        <f t="shared" si="2"/>
        <v>0</v>
      </c>
      <c r="AD162" s="5"/>
    </row>
    <row r="163" spans="1:30" s="69" customFormat="1" ht="45" customHeight="1" x14ac:dyDescent="0.35">
      <c r="A163" s="15" t="s">
        <v>801</v>
      </c>
      <c r="B163" s="97" t="s">
        <v>267</v>
      </c>
      <c r="C163" s="90" t="s">
        <v>513</v>
      </c>
      <c r="D163" s="28">
        <v>46049</v>
      </c>
      <c r="E163" s="28">
        <v>46109</v>
      </c>
      <c r="F163" s="8"/>
      <c r="G163" s="8"/>
      <c r="H163" s="8"/>
      <c r="I163" s="8"/>
      <c r="J163" s="8"/>
      <c r="K163" s="8"/>
      <c r="L163" s="104"/>
      <c r="M163" s="163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7">
        <f t="shared" si="2"/>
        <v>0</v>
      </c>
      <c r="AD163" s="5"/>
    </row>
    <row r="164" spans="1:30" s="69" customFormat="1" ht="45" customHeight="1" x14ac:dyDescent="0.35">
      <c r="A164" s="15" t="s">
        <v>802</v>
      </c>
      <c r="B164" s="97" t="s">
        <v>268</v>
      </c>
      <c r="C164" s="90" t="s">
        <v>514</v>
      </c>
      <c r="D164" s="28">
        <v>46049</v>
      </c>
      <c r="E164" s="90"/>
      <c r="F164" s="8"/>
      <c r="G164" s="8"/>
      <c r="H164" s="8"/>
      <c r="I164" s="8"/>
      <c r="J164" s="8"/>
      <c r="K164" s="8"/>
      <c r="L164" s="104"/>
      <c r="M164" s="163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7">
        <f t="shared" si="2"/>
        <v>0</v>
      </c>
      <c r="AD164" s="5"/>
    </row>
    <row r="165" spans="1:30" s="69" customFormat="1" ht="45" customHeight="1" x14ac:dyDescent="0.35">
      <c r="A165" s="15" t="s">
        <v>803</v>
      </c>
      <c r="B165" s="97" t="s">
        <v>269</v>
      </c>
      <c r="C165" s="90" t="s">
        <v>515</v>
      </c>
      <c r="D165" s="28">
        <v>46058</v>
      </c>
      <c r="E165" s="28">
        <v>46109</v>
      </c>
      <c r="F165" s="8"/>
      <c r="G165" s="8"/>
      <c r="H165" s="8"/>
      <c r="I165" s="8"/>
      <c r="J165" s="8"/>
      <c r="K165" s="8"/>
      <c r="L165" s="104"/>
      <c r="M165" s="163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7">
        <f t="shared" si="2"/>
        <v>0</v>
      </c>
      <c r="AD165" s="5"/>
    </row>
    <row r="166" spans="1:30" s="69" customFormat="1" ht="45" customHeight="1" x14ac:dyDescent="0.35">
      <c r="A166" s="15" t="s">
        <v>804</v>
      </c>
      <c r="B166" s="97" t="s">
        <v>270</v>
      </c>
      <c r="C166" s="90" t="s">
        <v>516</v>
      </c>
      <c r="D166" s="28">
        <v>46058</v>
      </c>
      <c r="E166" s="90"/>
      <c r="F166" s="8"/>
      <c r="G166" s="8"/>
      <c r="H166" s="8"/>
      <c r="I166" s="8"/>
      <c r="J166" s="8"/>
      <c r="K166" s="8"/>
      <c r="L166" s="104"/>
      <c r="M166" s="163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7">
        <f t="shared" si="2"/>
        <v>0</v>
      </c>
      <c r="AD166" s="5"/>
    </row>
    <row r="167" spans="1:30" s="69" customFormat="1" ht="45" customHeight="1" x14ac:dyDescent="0.35">
      <c r="A167" s="15" t="s">
        <v>805</v>
      </c>
      <c r="B167" s="97" t="s">
        <v>271</v>
      </c>
      <c r="C167" s="90" t="s">
        <v>517</v>
      </c>
      <c r="D167" s="28">
        <v>46058</v>
      </c>
      <c r="E167" s="90"/>
      <c r="F167" s="8"/>
      <c r="G167" s="8"/>
      <c r="H167" s="8"/>
      <c r="I167" s="8"/>
      <c r="J167" s="8"/>
      <c r="K167" s="8"/>
      <c r="L167" s="104"/>
      <c r="M167" s="163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7">
        <f t="shared" si="2"/>
        <v>0</v>
      </c>
      <c r="AD167" s="5"/>
    </row>
    <row r="168" spans="1:30" s="69" customFormat="1" ht="45" customHeight="1" x14ac:dyDescent="0.35">
      <c r="A168" s="15" t="s">
        <v>806</v>
      </c>
      <c r="B168" s="97" t="s">
        <v>272</v>
      </c>
      <c r="C168" s="90" t="s">
        <v>518</v>
      </c>
      <c r="D168" s="28">
        <v>46058</v>
      </c>
      <c r="E168" s="90"/>
      <c r="F168" s="8"/>
      <c r="G168" s="8"/>
      <c r="H168" s="8"/>
      <c r="I168" s="8"/>
      <c r="J168" s="8"/>
      <c r="K168" s="8"/>
      <c r="L168" s="104"/>
      <c r="M168" s="163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7">
        <f t="shared" si="2"/>
        <v>0</v>
      </c>
      <c r="AD168" s="5"/>
    </row>
    <row r="169" spans="1:30" s="69" customFormat="1" ht="45" customHeight="1" x14ac:dyDescent="0.35">
      <c r="A169" s="15" t="s">
        <v>807</v>
      </c>
      <c r="B169" s="97" t="s">
        <v>273</v>
      </c>
      <c r="C169" s="90" t="s">
        <v>519</v>
      </c>
      <c r="D169" s="28">
        <v>46058</v>
      </c>
      <c r="E169" s="90"/>
      <c r="F169" s="8"/>
      <c r="G169" s="8"/>
      <c r="H169" s="8"/>
      <c r="I169" s="8"/>
      <c r="J169" s="8"/>
      <c r="K169" s="8"/>
      <c r="L169" s="104"/>
      <c r="M169" s="163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7">
        <f t="shared" si="2"/>
        <v>0</v>
      </c>
      <c r="AD169" s="5"/>
    </row>
    <row r="170" spans="1:30" s="69" customFormat="1" ht="69" customHeight="1" x14ac:dyDescent="0.35">
      <c r="A170" s="155" t="s">
        <v>808</v>
      </c>
      <c r="B170" s="156" t="s">
        <v>274</v>
      </c>
      <c r="C170" s="157" t="s">
        <v>520</v>
      </c>
      <c r="D170" s="158">
        <v>46122</v>
      </c>
      <c r="E170" s="158">
        <v>46204</v>
      </c>
      <c r="F170" s="146" t="s">
        <v>1254</v>
      </c>
      <c r="G170" s="144"/>
      <c r="H170" s="144"/>
      <c r="I170" s="144"/>
      <c r="J170" s="144"/>
      <c r="K170" s="144"/>
      <c r="L170" s="125">
        <f>28000</f>
        <v>28000</v>
      </c>
      <c r="M170" s="125">
        <v>3000</v>
      </c>
      <c r="N170" s="145"/>
      <c r="O170" s="82">
        <v>5000</v>
      </c>
      <c r="P170" s="145" t="s">
        <v>19</v>
      </c>
      <c r="Q170" s="145"/>
      <c r="R170" s="160">
        <v>8000</v>
      </c>
      <c r="S170" s="145" t="s">
        <v>19</v>
      </c>
      <c r="T170" s="169">
        <v>46136</v>
      </c>
      <c r="U170" s="160">
        <v>15000</v>
      </c>
      <c r="V170" s="145" t="s">
        <v>19</v>
      </c>
      <c r="W170" s="169">
        <v>46136</v>
      </c>
      <c r="X170" s="161">
        <v>3000</v>
      </c>
      <c r="Y170" s="145" t="s">
        <v>19</v>
      </c>
      <c r="Z170" s="145"/>
      <c r="AA170" s="145"/>
      <c r="AB170" s="145"/>
      <c r="AC170" s="7">
        <f t="shared" si="2"/>
        <v>0</v>
      </c>
      <c r="AD170" s="145"/>
    </row>
    <row r="171" spans="1:30" s="69" customFormat="1" ht="45" customHeight="1" x14ac:dyDescent="0.35">
      <c r="A171" s="15" t="s">
        <v>809</v>
      </c>
      <c r="B171" s="97" t="s">
        <v>275</v>
      </c>
      <c r="C171" s="90" t="s">
        <v>521</v>
      </c>
      <c r="D171" s="28">
        <v>46114</v>
      </c>
      <c r="E171" s="186"/>
      <c r="F171" s="8"/>
      <c r="G171" s="8"/>
      <c r="H171" s="8"/>
      <c r="I171" s="8"/>
      <c r="J171" s="8"/>
      <c r="K171" s="8"/>
      <c r="L171" s="104"/>
      <c r="M171" s="163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7">
        <f t="shared" si="2"/>
        <v>0</v>
      </c>
      <c r="AD171" s="5"/>
    </row>
    <row r="172" spans="1:30" s="69" customFormat="1" ht="45" customHeight="1" x14ac:dyDescent="0.35">
      <c r="A172" s="15" t="s">
        <v>810</v>
      </c>
      <c r="B172" s="97" t="s">
        <v>276</v>
      </c>
      <c r="C172" s="90" t="s">
        <v>522</v>
      </c>
      <c r="D172" s="28">
        <v>46114</v>
      </c>
      <c r="E172" s="90"/>
      <c r="F172" s="8"/>
      <c r="G172" s="8"/>
      <c r="H172" s="8"/>
      <c r="I172" s="8"/>
      <c r="J172" s="8"/>
      <c r="K172" s="8"/>
      <c r="L172" s="104"/>
      <c r="M172" s="163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7">
        <f t="shared" si="2"/>
        <v>0</v>
      </c>
      <c r="AD172" s="5"/>
    </row>
    <row r="173" spans="1:30" s="69" customFormat="1" ht="45" customHeight="1" x14ac:dyDescent="0.35">
      <c r="A173" s="15" t="s">
        <v>811</v>
      </c>
      <c r="B173" s="97" t="s">
        <v>277</v>
      </c>
      <c r="C173" s="90" t="s">
        <v>523</v>
      </c>
      <c r="D173" s="28">
        <v>46114</v>
      </c>
      <c r="E173" s="28">
        <v>46123</v>
      </c>
      <c r="F173" s="8"/>
      <c r="G173" s="8"/>
      <c r="H173" s="8"/>
      <c r="I173" s="8"/>
      <c r="J173" s="8"/>
      <c r="K173" s="8"/>
      <c r="L173" s="104"/>
      <c r="M173" s="163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7">
        <f t="shared" si="2"/>
        <v>0</v>
      </c>
      <c r="AD173" s="5"/>
    </row>
    <row r="174" spans="1:30" s="69" customFormat="1" ht="45" customHeight="1" x14ac:dyDescent="0.35">
      <c r="A174" s="15" t="s">
        <v>812</v>
      </c>
      <c r="B174" s="97" t="s">
        <v>278</v>
      </c>
      <c r="C174" s="90" t="s">
        <v>524</v>
      </c>
      <c r="D174" s="28">
        <v>46114</v>
      </c>
      <c r="E174" s="28">
        <v>46123</v>
      </c>
      <c r="F174" s="8"/>
      <c r="G174" s="8"/>
      <c r="H174" s="8"/>
      <c r="I174" s="8"/>
      <c r="J174" s="8"/>
      <c r="K174" s="8"/>
      <c r="L174" s="104"/>
      <c r="M174" s="163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7">
        <f t="shared" si="2"/>
        <v>0</v>
      </c>
      <c r="AD174" s="5"/>
    </row>
    <row r="175" spans="1:30" s="69" customFormat="1" ht="45" customHeight="1" x14ac:dyDescent="0.35">
      <c r="A175" s="15" t="s">
        <v>813</v>
      </c>
      <c r="B175" s="97" t="s">
        <v>279</v>
      </c>
      <c r="C175" s="90" t="s">
        <v>525</v>
      </c>
      <c r="D175" s="28">
        <v>46114</v>
      </c>
      <c r="E175" s="28">
        <v>46123</v>
      </c>
      <c r="F175" s="8"/>
      <c r="G175" s="8"/>
      <c r="H175" s="8"/>
      <c r="I175" s="8"/>
      <c r="J175" s="8"/>
      <c r="K175" s="8"/>
      <c r="L175" s="104"/>
      <c r="M175" s="163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7">
        <f t="shared" si="2"/>
        <v>0</v>
      </c>
      <c r="AD175" s="5"/>
    </row>
    <row r="176" spans="1:30" s="69" customFormat="1" ht="45" customHeight="1" x14ac:dyDescent="0.35">
      <c r="A176" s="15" t="s">
        <v>814</v>
      </c>
      <c r="B176" s="97" t="s">
        <v>280</v>
      </c>
      <c r="C176" s="90" t="s">
        <v>526</v>
      </c>
      <c r="D176" s="28">
        <v>46114</v>
      </c>
      <c r="E176" s="90"/>
      <c r="F176" s="8"/>
      <c r="G176" s="8"/>
      <c r="H176" s="8"/>
      <c r="I176" s="8"/>
      <c r="J176" s="8"/>
      <c r="K176" s="8"/>
      <c r="L176" s="104"/>
      <c r="M176" s="163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7">
        <f t="shared" si="2"/>
        <v>0</v>
      </c>
      <c r="AD176" s="5"/>
    </row>
    <row r="177" spans="1:30" s="69" customFormat="1" ht="45" customHeight="1" x14ac:dyDescent="0.35">
      <c r="A177" s="15" t="s">
        <v>815</v>
      </c>
      <c r="B177" s="97" t="s">
        <v>281</v>
      </c>
      <c r="C177" s="90" t="s">
        <v>527</v>
      </c>
      <c r="D177" s="28">
        <v>46114</v>
      </c>
      <c r="E177" s="90"/>
      <c r="F177" s="8"/>
      <c r="G177" s="8"/>
      <c r="H177" s="8"/>
      <c r="I177" s="8"/>
      <c r="J177" s="8"/>
      <c r="K177" s="8"/>
      <c r="L177" s="104"/>
      <c r="M177" s="163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7">
        <f t="shared" si="2"/>
        <v>0</v>
      </c>
      <c r="AD177" s="5"/>
    </row>
    <row r="178" spans="1:30" s="69" customFormat="1" ht="45" customHeight="1" x14ac:dyDescent="0.35">
      <c r="A178" s="15" t="s">
        <v>816</v>
      </c>
      <c r="B178" s="97" t="s">
        <v>282</v>
      </c>
      <c r="C178" s="90" t="s">
        <v>528</v>
      </c>
      <c r="D178" s="28">
        <v>46114</v>
      </c>
      <c r="E178" s="28">
        <v>46123</v>
      </c>
      <c r="F178" s="8"/>
      <c r="G178" s="8"/>
      <c r="H178" s="8"/>
      <c r="I178" s="8"/>
      <c r="J178" s="8"/>
      <c r="K178" s="8"/>
      <c r="L178" s="104"/>
      <c r="M178" s="163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7">
        <f t="shared" si="2"/>
        <v>0</v>
      </c>
      <c r="AD178" s="5"/>
    </row>
    <row r="179" spans="1:30" s="69" customFormat="1" ht="45" customHeight="1" x14ac:dyDescent="0.35">
      <c r="A179" s="15" t="s">
        <v>817</v>
      </c>
      <c r="B179" s="97" t="s">
        <v>283</v>
      </c>
      <c r="C179" s="90" t="s">
        <v>529</v>
      </c>
      <c r="D179" s="28">
        <v>46114</v>
      </c>
      <c r="E179" s="90"/>
      <c r="F179" s="8"/>
      <c r="G179" s="8"/>
      <c r="H179" s="8"/>
      <c r="I179" s="8"/>
      <c r="J179" s="8"/>
      <c r="K179" s="8"/>
      <c r="L179" s="104"/>
      <c r="M179" s="163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7">
        <f t="shared" si="2"/>
        <v>0</v>
      </c>
      <c r="AD179" s="5"/>
    </row>
    <row r="180" spans="1:30" s="69" customFormat="1" ht="45" customHeight="1" x14ac:dyDescent="0.35">
      <c r="A180" s="15" t="s">
        <v>818</v>
      </c>
      <c r="B180" s="97" t="s">
        <v>284</v>
      </c>
      <c r="C180" s="90" t="s">
        <v>530</v>
      </c>
      <c r="D180" s="28">
        <v>46114</v>
      </c>
      <c r="E180" s="28">
        <v>46123</v>
      </c>
      <c r="F180" s="8"/>
      <c r="G180" s="8"/>
      <c r="H180" s="8"/>
      <c r="I180" s="8"/>
      <c r="J180" s="8"/>
      <c r="K180" s="8"/>
      <c r="L180" s="104"/>
      <c r="M180" s="163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7">
        <f t="shared" si="2"/>
        <v>0</v>
      </c>
      <c r="AD180" s="5"/>
    </row>
    <row r="181" spans="1:30" s="69" customFormat="1" ht="45" customHeight="1" x14ac:dyDescent="0.35">
      <c r="A181" s="15" t="s">
        <v>819</v>
      </c>
      <c r="B181" s="97" t="s">
        <v>285</v>
      </c>
      <c r="C181" s="90" t="s">
        <v>531</v>
      </c>
      <c r="D181" s="28">
        <v>46114</v>
      </c>
      <c r="E181" s="28">
        <v>46123</v>
      </c>
      <c r="F181" s="8"/>
      <c r="G181" s="8"/>
      <c r="H181" s="8"/>
      <c r="I181" s="8"/>
      <c r="J181" s="8"/>
      <c r="K181" s="8"/>
      <c r="L181" s="104"/>
      <c r="M181" s="163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7">
        <f t="shared" si="2"/>
        <v>0</v>
      </c>
      <c r="AD181" s="5"/>
    </row>
    <row r="182" spans="1:30" s="69" customFormat="1" ht="45" customHeight="1" x14ac:dyDescent="0.35">
      <c r="A182" s="15" t="s">
        <v>820</v>
      </c>
      <c r="B182" s="97" t="s">
        <v>286</v>
      </c>
      <c r="C182" s="90" t="s">
        <v>532</v>
      </c>
      <c r="D182" s="28">
        <v>46114</v>
      </c>
      <c r="E182" s="28">
        <v>46123</v>
      </c>
      <c r="F182" s="8"/>
      <c r="G182" s="8"/>
      <c r="H182" s="8"/>
      <c r="I182" s="8"/>
      <c r="J182" s="8"/>
      <c r="K182" s="8"/>
      <c r="L182" s="104"/>
      <c r="M182" s="163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7">
        <f t="shared" si="2"/>
        <v>0</v>
      </c>
      <c r="AD182" s="5"/>
    </row>
    <row r="183" spans="1:30" s="69" customFormat="1" ht="45" customHeight="1" x14ac:dyDescent="0.35">
      <c r="A183" s="15" t="s">
        <v>821</v>
      </c>
      <c r="B183" s="97" t="s">
        <v>287</v>
      </c>
      <c r="C183" s="90" t="s">
        <v>533</v>
      </c>
      <c r="D183" s="28">
        <v>46114</v>
      </c>
      <c r="E183" s="28">
        <v>46123</v>
      </c>
      <c r="F183" s="8"/>
      <c r="G183" s="8"/>
      <c r="H183" s="8"/>
      <c r="I183" s="8"/>
      <c r="J183" s="8"/>
      <c r="K183" s="8"/>
      <c r="L183" s="104"/>
      <c r="M183" s="163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7">
        <f t="shared" si="2"/>
        <v>0</v>
      </c>
      <c r="AD183" s="5"/>
    </row>
    <row r="184" spans="1:30" s="69" customFormat="1" ht="45" customHeight="1" x14ac:dyDescent="0.35">
      <c r="A184" s="15" t="s">
        <v>822</v>
      </c>
      <c r="B184" s="97" t="s">
        <v>288</v>
      </c>
      <c r="C184" s="90" t="s">
        <v>534</v>
      </c>
      <c r="D184" s="28">
        <v>46114</v>
      </c>
      <c r="E184" s="28">
        <v>46123</v>
      </c>
      <c r="F184" s="8"/>
      <c r="G184" s="8"/>
      <c r="H184" s="8"/>
      <c r="I184" s="8"/>
      <c r="J184" s="8"/>
      <c r="K184" s="8"/>
      <c r="L184" s="104"/>
      <c r="M184" s="163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7">
        <f t="shared" si="2"/>
        <v>0</v>
      </c>
      <c r="AD184" s="5"/>
    </row>
    <row r="185" spans="1:30" s="69" customFormat="1" ht="45" customHeight="1" x14ac:dyDescent="0.35">
      <c r="A185" s="15" t="s">
        <v>823</v>
      </c>
      <c r="B185" s="97" t="s">
        <v>289</v>
      </c>
      <c r="C185" s="90" t="s">
        <v>535</v>
      </c>
      <c r="D185" s="28">
        <v>46114</v>
      </c>
      <c r="E185" s="28">
        <v>46123</v>
      </c>
      <c r="F185" s="8"/>
      <c r="G185" s="8"/>
      <c r="H185" s="8"/>
      <c r="I185" s="8"/>
      <c r="J185" s="8"/>
      <c r="K185" s="8"/>
      <c r="L185" s="104"/>
      <c r="M185" s="163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7">
        <f t="shared" si="2"/>
        <v>0</v>
      </c>
      <c r="AD185" s="5"/>
    </row>
    <row r="186" spans="1:30" s="69" customFormat="1" ht="45" customHeight="1" x14ac:dyDescent="0.35">
      <c r="A186" s="15" t="s">
        <v>824</v>
      </c>
      <c r="B186" s="97" t="s">
        <v>290</v>
      </c>
      <c r="C186" s="90" t="s">
        <v>536</v>
      </c>
      <c r="D186" s="28">
        <v>46114</v>
      </c>
      <c r="E186" s="90"/>
      <c r="F186" s="8"/>
      <c r="G186" s="8"/>
      <c r="H186" s="8"/>
      <c r="I186" s="8"/>
      <c r="J186" s="8"/>
      <c r="K186" s="8"/>
      <c r="L186" s="104"/>
      <c r="M186" s="163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7">
        <f t="shared" si="2"/>
        <v>0</v>
      </c>
      <c r="AD186" s="5"/>
    </row>
    <row r="187" spans="1:30" s="69" customFormat="1" ht="45" customHeight="1" x14ac:dyDescent="0.35">
      <c r="A187" s="15" t="s">
        <v>825</v>
      </c>
      <c r="B187" s="97" t="s">
        <v>291</v>
      </c>
      <c r="C187" s="90" t="s">
        <v>537</v>
      </c>
      <c r="D187" s="28">
        <v>46114</v>
      </c>
      <c r="E187" s="28">
        <v>46149</v>
      </c>
      <c r="F187" s="8"/>
      <c r="G187" s="8"/>
      <c r="H187" s="8"/>
      <c r="I187" s="8"/>
      <c r="J187" s="8"/>
      <c r="K187" s="8"/>
      <c r="L187" s="104"/>
      <c r="M187" s="163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7">
        <f t="shared" si="2"/>
        <v>0</v>
      </c>
      <c r="AD187" s="5"/>
    </row>
    <row r="188" spans="1:30" s="69" customFormat="1" ht="45" customHeight="1" x14ac:dyDescent="0.35">
      <c r="A188" s="15" t="s">
        <v>826</v>
      </c>
      <c r="B188" s="97" t="s">
        <v>292</v>
      </c>
      <c r="C188" s="90" t="s">
        <v>538</v>
      </c>
      <c r="D188" s="28">
        <v>46114</v>
      </c>
      <c r="E188" s="28">
        <v>46149</v>
      </c>
      <c r="F188" s="8"/>
      <c r="G188" s="8"/>
      <c r="H188" s="8"/>
      <c r="I188" s="8"/>
      <c r="J188" s="8"/>
      <c r="K188" s="8"/>
      <c r="L188" s="104"/>
      <c r="M188" s="163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7">
        <f t="shared" si="2"/>
        <v>0</v>
      </c>
      <c r="AD188" s="5"/>
    </row>
    <row r="189" spans="1:30" s="69" customFormat="1" ht="56.15" customHeight="1" x14ac:dyDescent="0.35">
      <c r="A189" s="15" t="s">
        <v>827</v>
      </c>
      <c r="B189" s="97" t="s">
        <v>293</v>
      </c>
      <c r="C189" s="90" t="s">
        <v>539</v>
      </c>
      <c r="D189" s="28">
        <v>46114</v>
      </c>
      <c r="E189" s="28">
        <v>46123</v>
      </c>
      <c r="F189" s="174" t="s">
        <v>1119</v>
      </c>
      <c r="G189" s="8">
        <v>51</v>
      </c>
      <c r="H189" s="173" t="s">
        <v>1205</v>
      </c>
      <c r="I189" s="8"/>
      <c r="J189" s="8"/>
      <c r="K189" s="8"/>
      <c r="L189" s="104"/>
      <c r="M189" s="163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7">
        <f t="shared" si="2"/>
        <v>0</v>
      </c>
      <c r="AD189" s="5"/>
    </row>
    <row r="190" spans="1:30" s="69" customFormat="1" ht="45" customHeight="1" x14ac:dyDescent="0.35">
      <c r="A190" s="15" t="s">
        <v>828</v>
      </c>
      <c r="B190" s="97" t="s">
        <v>294</v>
      </c>
      <c r="C190" s="90" t="s">
        <v>540</v>
      </c>
      <c r="D190" s="28">
        <v>46114</v>
      </c>
      <c r="E190" s="28">
        <v>46149</v>
      </c>
      <c r="F190" s="8"/>
      <c r="G190" s="8"/>
      <c r="H190" s="8"/>
      <c r="I190" s="8"/>
      <c r="J190" s="8"/>
      <c r="K190" s="8"/>
      <c r="L190" s="104"/>
      <c r="M190" s="163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7">
        <f t="shared" si="2"/>
        <v>0</v>
      </c>
      <c r="AD190" s="5"/>
    </row>
    <row r="191" spans="1:30" s="69" customFormat="1" ht="45" customHeight="1" x14ac:dyDescent="0.35">
      <c r="A191" s="15" t="s">
        <v>829</v>
      </c>
      <c r="B191" s="97" t="s">
        <v>295</v>
      </c>
      <c r="C191" s="90" t="s">
        <v>541</v>
      </c>
      <c r="D191" s="28">
        <v>46114</v>
      </c>
      <c r="E191" s="28">
        <v>46123</v>
      </c>
      <c r="F191" s="8"/>
      <c r="G191" s="8"/>
      <c r="H191" s="8"/>
      <c r="I191" s="8"/>
      <c r="J191" s="8"/>
      <c r="K191" s="8"/>
      <c r="L191" s="104"/>
      <c r="M191" s="163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7">
        <f t="shared" si="2"/>
        <v>0</v>
      </c>
      <c r="AD191" s="5"/>
    </row>
    <row r="192" spans="1:30" s="69" customFormat="1" ht="45" customHeight="1" x14ac:dyDescent="0.35">
      <c r="A192" s="15" t="s">
        <v>830</v>
      </c>
      <c r="B192" s="97" t="s">
        <v>296</v>
      </c>
      <c r="C192" s="90" t="s">
        <v>542</v>
      </c>
      <c r="D192" s="28">
        <v>46114</v>
      </c>
      <c r="E192" s="28">
        <v>46123</v>
      </c>
      <c r="F192" s="8"/>
      <c r="G192" s="8"/>
      <c r="H192" s="8"/>
      <c r="I192" s="8"/>
      <c r="J192" s="8"/>
      <c r="K192" s="8"/>
      <c r="L192" s="104"/>
      <c r="M192" s="163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7">
        <f t="shared" si="2"/>
        <v>0</v>
      </c>
      <c r="AD192" s="5"/>
    </row>
    <row r="193" spans="1:30" s="69" customFormat="1" ht="45" customHeight="1" x14ac:dyDescent="0.35">
      <c r="A193" s="15" t="s">
        <v>831</v>
      </c>
      <c r="B193" s="97" t="s">
        <v>1294</v>
      </c>
      <c r="C193" s="90"/>
      <c r="D193" s="28"/>
      <c r="E193" s="90"/>
      <c r="F193" s="8"/>
      <c r="G193" s="8"/>
      <c r="H193" s="8"/>
      <c r="I193" s="8"/>
      <c r="J193" s="8"/>
      <c r="K193" s="8"/>
      <c r="L193" s="104"/>
      <c r="M193" s="163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7">
        <f t="shared" si="2"/>
        <v>0</v>
      </c>
      <c r="AD193" s="5"/>
    </row>
    <row r="194" spans="1:30" s="69" customFormat="1" ht="45" customHeight="1" x14ac:dyDescent="0.35">
      <c r="A194" s="15" t="s">
        <v>832</v>
      </c>
      <c r="B194" s="97" t="s">
        <v>297</v>
      </c>
      <c r="C194" s="90"/>
      <c r="D194" s="28"/>
      <c r="E194" s="90"/>
      <c r="F194" s="8"/>
      <c r="G194" s="8"/>
      <c r="H194" s="8"/>
      <c r="I194" s="8"/>
      <c r="J194" s="8"/>
      <c r="K194" s="8"/>
      <c r="L194" s="104"/>
      <c r="M194" s="163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7">
        <f t="shared" si="2"/>
        <v>0</v>
      </c>
      <c r="AD194" s="5"/>
    </row>
    <row r="195" spans="1:30" s="69" customFormat="1" ht="45" customHeight="1" x14ac:dyDescent="0.35">
      <c r="A195" s="15" t="s">
        <v>833</v>
      </c>
      <c r="B195" s="97" t="s">
        <v>298</v>
      </c>
      <c r="C195" s="90"/>
      <c r="D195" s="28"/>
      <c r="E195" s="90"/>
      <c r="F195" s="8"/>
      <c r="G195" s="8"/>
      <c r="H195" s="8"/>
      <c r="I195" s="8"/>
      <c r="J195" s="8"/>
      <c r="K195" s="8"/>
      <c r="L195" s="104"/>
      <c r="M195" s="163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7">
        <f t="shared" si="2"/>
        <v>0</v>
      </c>
      <c r="AD195" s="5"/>
    </row>
    <row r="196" spans="1:30" s="69" customFormat="1" ht="45" customHeight="1" x14ac:dyDescent="0.35">
      <c r="A196" s="15" t="s">
        <v>834</v>
      </c>
      <c r="B196" s="97" t="s">
        <v>299</v>
      </c>
      <c r="C196" s="90" t="s">
        <v>543</v>
      </c>
      <c r="D196" s="28">
        <v>46122</v>
      </c>
      <c r="E196" s="90" t="s">
        <v>1206</v>
      </c>
      <c r="F196" s="11" t="s">
        <v>1119</v>
      </c>
      <c r="G196" s="8">
        <v>69</v>
      </c>
      <c r="H196" s="11" t="s">
        <v>1207</v>
      </c>
      <c r="I196" s="8"/>
      <c r="J196" s="8"/>
      <c r="K196" s="8"/>
      <c r="L196" s="104"/>
      <c r="M196" s="163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7">
        <f t="shared" si="2"/>
        <v>0</v>
      </c>
      <c r="AD196" s="5"/>
    </row>
    <row r="197" spans="1:30" s="69" customFormat="1" ht="45" customHeight="1" x14ac:dyDescent="0.35">
      <c r="A197" s="15" t="s">
        <v>835</v>
      </c>
      <c r="B197" s="97" t="s">
        <v>300</v>
      </c>
      <c r="C197" s="90" t="s">
        <v>544</v>
      </c>
      <c r="D197" s="28">
        <v>46122</v>
      </c>
      <c r="E197" s="28">
        <v>46123</v>
      </c>
      <c r="F197" s="8" t="s">
        <v>1163</v>
      </c>
      <c r="G197" s="8">
        <v>88</v>
      </c>
      <c r="H197" s="11" t="s">
        <v>1257</v>
      </c>
      <c r="I197" s="8"/>
      <c r="J197" s="8"/>
      <c r="K197" s="8"/>
      <c r="L197" s="104"/>
      <c r="M197" s="163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7">
        <f t="shared" ref="AC197:AC233" si="3">+(L197+M197)-O197-R197-U197-X197-AA197</f>
        <v>0</v>
      </c>
      <c r="AD197" s="5"/>
    </row>
    <row r="198" spans="1:30" s="69" customFormat="1" ht="45" customHeight="1" x14ac:dyDescent="0.35">
      <c r="A198" s="15" t="s">
        <v>836</v>
      </c>
      <c r="B198" s="97" t="s">
        <v>301</v>
      </c>
      <c r="C198" s="90" t="s">
        <v>545</v>
      </c>
      <c r="D198" s="28">
        <v>46122</v>
      </c>
      <c r="E198" s="28">
        <v>46123</v>
      </c>
      <c r="F198" s="11" t="s">
        <v>1119</v>
      </c>
      <c r="G198" s="8">
        <v>51</v>
      </c>
      <c r="H198" s="11" t="s">
        <v>1205</v>
      </c>
      <c r="I198" s="8"/>
      <c r="J198" s="8"/>
      <c r="K198" s="8"/>
      <c r="L198" s="104"/>
      <c r="M198" s="163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7">
        <f t="shared" si="3"/>
        <v>0</v>
      </c>
      <c r="AD198" s="5"/>
    </row>
    <row r="199" spans="1:30" s="69" customFormat="1" ht="45" customHeight="1" x14ac:dyDescent="0.35">
      <c r="A199" s="15" t="s">
        <v>837</v>
      </c>
      <c r="B199" s="97" t="s">
        <v>302</v>
      </c>
      <c r="C199" s="90" t="s">
        <v>546</v>
      </c>
      <c r="D199" s="28">
        <v>46122</v>
      </c>
      <c r="E199" s="28">
        <v>46123</v>
      </c>
      <c r="F199" s="8"/>
      <c r="G199" s="8"/>
      <c r="H199" s="8"/>
      <c r="I199" s="8"/>
      <c r="J199" s="8"/>
      <c r="K199" s="8"/>
      <c r="L199" s="104"/>
      <c r="M199" s="163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7">
        <f t="shared" si="3"/>
        <v>0</v>
      </c>
      <c r="AD199" s="5"/>
    </row>
    <row r="200" spans="1:30" s="69" customFormat="1" ht="45" customHeight="1" x14ac:dyDescent="0.35">
      <c r="A200" s="15" t="s">
        <v>838</v>
      </c>
      <c r="B200" s="97" t="s">
        <v>303</v>
      </c>
      <c r="C200" s="90" t="s">
        <v>547</v>
      </c>
      <c r="D200" s="28">
        <v>46122</v>
      </c>
      <c r="E200" s="90"/>
      <c r="F200" s="8"/>
      <c r="G200" s="8"/>
      <c r="H200" s="8"/>
      <c r="I200" s="8"/>
      <c r="J200" s="8"/>
      <c r="K200" s="8"/>
      <c r="L200" s="104"/>
      <c r="M200" s="163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7">
        <f t="shared" si="3"/>
        <v>0</v>
      </c>
      <c r="AD200" s="5"/>
    </row>
    <row r="201" spans="1:30" s="69" customFormat="1" ht="45" customHeight="1" x14ac:dyDescent="0.35">
      <c r="A201" s="15" t="s">
        <v>839</v>
      </c>
      <c r="B201" s="97" t="s">
        <v>304</v>
      </c>
      <c r="C201" s="90" t="s">
        <v>548</v>
      </c>
      <c r="D201" s="28">
        <v>46122</v>
      </c>
      <c r="E201" s="28">
        <v>46149</v>
      </c>
      <c r="F201" s="8"/>
      <c r="G201" s="8"/>
      <c r="H201" s="8"/>
      <c r="I201" s="8"/>
      <c r="J201" s="8"/>
      <c r="K201" s="8"/>
      <c r="L201" s="104"/>
      <c r="M201" s="163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7">
        <f t="shared" si="3"/>
        <v>0</v>
      </c>
      <c r="AD201" s="5"/>
    </row>
    <row r="202" spans="1:30" s="69" customFormat="1" ht="57.65" customHeight="1" x14ac:dyDescent="0.35">
      <c r="A202" s="15" t="s">
        <v>840</v>
      </c>
      <c r="B202" s="97" t="s">
        <v>305</v>
      </c>
      <c r="C202" s="90" t="s">
        <v>549</v>
      </c>
      <c r="D202" s="28">
        <v>46122</v>
      </c>
      <c r="E202" s="28">
        <v>46123</v>
      </c>
      <c r="F202" s="174" t="s">
        <v>1258</v>
      </c>
      <c r="G202" s="8">
        <v>190</v>
      </c>
      <c r="H202" s="173" t="s">
        <v>1259</v>
      </c>
      <c r="I202" s="8"/>
      <c r="J202" s="8"/>
      <c r="K202" s="8"/>
      <c r="L202" s="104"/>
      <c r="M202" s="163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7">
        <f t="shared" si="3"/>
        <v>0</v>
      </c>
      <c r="AD202" s="5"/>
    </row>
    <row r="203" spans="1:30" s="69" customFormat="1" ht="45" customHeight="1" x14ac:dyDescent="0.35">
      <c r="A203" s="15" t="s">
        <v>841</v>
      </c>
      <c r="B203" s="97" t="s">
        <v>306</v>
      </c>
      <c r="C203" s="90" t="s">
        <v>550</v>
      </c>
      <c r="D203" s="28">
        <v>46122</v>
      </c>
      <c r="E203" s="28">
        <v>46123</v>
      </c>
      <c r="F203" s="8"/>
      <c r="G203" s="8"/>
      <c r="H203" s="8"/>
      <c r="I203" s="8"/>
      <c r="J203" s="8"/>
      <c r="K203" s="8"/>
      <c r="L203" s="104"/>
      <c r="M203" s="163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7">
        <f t="shared" si="3"/>
        <v>0</v>
      </c>
      <c r="AD203" s="5"/>
    </row>
    <row r="204" spans="1:30" s="69" customFormat="1" ht="45" customHeight="1" x14ac:dyDescent="0.35">
      <c r="A204" s="15" t="s">
        <v>842</v>
      </c>
      <c r="B204" s="97" t="s">
        <v>307</v>
      </c>
      <c r="C204" s="90" t="s">
        <v>551</v>
      </c>
      <c r="D204" s="28">
        <v>46122</v>
      </c>
      <c r="E204" s="28">
        <v>46149</v>
      </c>
      <c r="F204" s="8"/>
      <c r="G204" s="8"/>
      <c r="H204" s="8"/>
      <c r="I204" s="8"/>
      <c r="J204" s="8"/>
      <c r="K204" s="8"/>
      <c r="L204" s="104"/>
      <c r="M204" s="163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7">
        <f t="shared" si="3"/>
        <v>0</v>
      </c>
      <c r="AD204" s="5"/>
    </row>
    <row r="205" spans="1:30" s="69" customFormat="1" ht="45" customHeight="1" x14ac:dyDescent="0.35">
      <c r="A205" s="15" t="s">
        <v>843</v>
      </c>
      <c r="B205" s="97" t="s">
        <v>308</v>
      </c>
      <c r="C205" s="90" t="s">
        <v>552</v>
      </c>
      <c r="D205" s="28">
        <v>46122</v>
      </c>
      <c r="E205" s="28">
        <v>46149</v>
      </c>
      <c r="F205" s="8"/>
      <c r="G205" s="8"/>
      <c r="H205" s="8"/>
      <c r="I205" s="8"/>
      <c r="J205" s="8"/>
      <c r="K205" s="8"/>
      <c r="L205" s="104"/>
      <c r="M205" s="163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7">
        <f t="shared" si="3"/>
        <v>0</v>
      </c>
      <c r="AD205" s="5"/>
    </row>
    <row r="206" spans="1:30" s="69" customFormat="1" ht="45" customHeight="1" x14ac:dyDescent="0.35">
      <c r="A206" s="15" t="s">
        <v>844</v>
      </c>
      <c r="B206" s="97" t="s">
        <v>309</v>
      </c>
      <c r="C206" s="90" t="s">
        <v>553</v>
      </c>
      <c r="D206" s="28">
        <v>46122</v>
      </c>
      <c r="E206" s="90"/>
      <c r="F206" s="8"/>
      <c r="G206" s="8"/>
      <c r="H206" s="8"/>
      <c r="I206" s="8"/>
      <c r="J206" s="8"/>
      <c r="K206" s="8"/>
      <c r="L206" s="104"/>
      <c r="M206" s="163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7">
        <f t="shared" si="3"/>
        <v>0</v>
      </c>
      <c r="AD206" s="5"/>
    </row>
    <row r="207" spans="1:30" s="69" customFormat="1" ht="45" customHeight="1" x14ac:dyDescent="0.35">
      <c r="A207" s="15" t="s">
        <v>845</v>
      </c>
      <c r="B207" s="97" t="s">
        <v>310</v>
      </c>
      <c r="C207" s="90" t="s">
        <v>554</v>
      </c>
      <c r="D207" s="28">
        <v>46122</v>
      </c>
      <c r="E207" s="28">
        <v>46149</v>
      </c>
      <c r="F207" s="8"/>
      <c r="G207" s="8"/>
      <c r="H207" s="8"/>
      <c r="I207" s="8"/>
      <c r="J207" s="8"/>
      <c r="K207" s="8"/>
      <c r="L207" s="104"/>
      <c r="M207" s="163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7">
        <f t="shared" si="3"/>
        <v>0</v>
      </c>
      <c r="AD207" s="5"/>
    </row>
    <row r="208" spans="1:30" s="69" customFormat="1" ht="45" customHeight="1" x14ac:dyDescent="0.35">
      <c r="A208" s="15" t="s">
        <v>846</v>
      </c>
      <c r="B208" s="97" t="s">
        <v>311</v>
      </c>
      <c r="C208" s="90" t="s">
        <v>555</v>
      </c>
      <c r="D208" s="28">
        <v>46122</v>
      </c>
      <c r="E208" s="28">
        <v>46149</v>
      </c>
      <c r="F208" s="8"/>
      <c r="G208" s="8"/>
      <c r="H208" s="8"/>
      <c r="I208" s="8"/>
      <c r="J208" s="8"/>
      <c r="K208" s="8"/>
      <c r="L208" s="104"/>
      <c r="M208" s="163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7">
        <f t="shared" si="3"/>
        <v>0</v>
      </c>
      <c r="AD208" s="5"/>
    </row>
    <row r="209" spans="1:30" s="69" customFormat="1" ht="45" customHeight="1" x14ac:dyDescent="0.35">
      <c r="A209" s="15" t="s">
        <v>847</v>
      </c>
      <c r="B209" s="97" t="s">
        <v>312</v>
      </c>
      <c r="C209" s="90" t="s">
        <v>556</v>
      </c>
      <c r="D209" s="28">
        <v>46122</v>
      </c>
      <c r="E209" s="28">
        <v>46123</v>
      </c>
      <c r="F209" s="8"/>
      <c r="G209" s="8"/>
      <c r="H209" s="8"/>
      <c r="I209" s="8"/>
      <c r="J209" s="8"/>
      <c r="K209" s="8"/>
      <c r="L209" s="104"/>
      <c r="M209" s="163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7">
        <f t="shared" si="3"/>
        <v>0</v>
      </c>
      <c r="AD209" s="5"/>
    </row>
    <row r="210" spans="1:30" s="69" customFormat="1" ht="45" customHeight="1" x14ac:dyDescent="0.35">
      <c r="A210" s="15" t="s">
        <v>848</v>
      </c>
      <c r="B210" s="97" t="s">
        <v>313</v>
      </c>
      <c r="C210" s="90" t="s">
        <v>557</v>
      </c>
      <c r="D210" s="28">
        <v>46122</v>
      </c>
      <c r="E210" s="28">
        <v>46123</v>
      </c>
      <c r="F210" s="8" t="s">
        <v>1203</v>
      </c>
      <c r="G210" s="8">
        <v>140</v>
      </c>
      <c r="H210" s="11" t="s">
        <v>1204</v>
      </c>
      <c r="I210" s="8"/>
      <c r="J210" s="8"/>
      <c r="K210" s="8"/>
      <c r="L210" s="104"/>
      <c r="M210" s="163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7">
        <f t="shared" si="3"/>
        <v>0</v>
      </c>
      <c r="AD210" s="5"/>
    </row>
    <row r="211" spans="1:30" s="69" customFormat="1" ht="45" customHeight="1" x14ac:dyDescent="0.35">
      <c r="A211" s="15" t="s">
        <v>849</v>
      </c>
      <c r="B211" s="97" t="s">
        <v>314</v>
      </c>
      <c r="C211" s="90" t="s">
        <v>558</v>
      </c>
      <c r="D211" s="28">
        <v>46122</v>
      </c>
      <c r="E211" s="90"/>
      <c r="F211" s="8"/>
      <c r="G211" s="8"/>
      <c r="H211" s="8"/>
      <c r="I211" s="8"/>
      <c r="J211" s="8"/>
      <c r="K211" s="8"/>
      <c r="L211" s="104"/>
      <c r="M211" s="163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7">
        <f t="shared" si="3"/>
        <v>0</v>
      </c>
      <c r="AD211" s="5"/>
    </row>
    <row r="212" spans="1:30" s="69" customFormat="1" ht="45" customHeight="1" x14ac:dyDescent="0.35">
      <c r="A212" s="15" t="s">
        <v>850</v>
      </c>
      <c r="B212" s="97" t="s">
        <v>315</v>
      </c>
      <c r="C212" s="90" t="s">
        <v>559</v>
      </c>
      <c r="D212" s="28">
        <v>46122</v>
      </c>
      <c r="E212" s="28">
        <v>46123</v>
      </c>
      <c r="F212" s="8" t="s">
        <v>1102</v>
      </c>
      <c r="G212" s="8"/>
      <c r="H212" s="8"/>
      <c r="I212" s="8"/>
      <c r="J212" s="8"/>
      <c r="K212" s="8"/>
      <c r="L212" s="104"/>
      <c r="M212" s="163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7">
        <f t="shared" si="3"/>
        <v>0</v>
      </c>
      <c r="AD212" s="5"/>
    </row>
    <row r="213" spans="1:30" s="69" customFormat="1" ht="45" customHeight="1" x14ac:dyDescent="0.35">
      <c r="A213" s="15" t="s">
        <v>851</v>
      </c>
      <c r="B213" s="97" t="s">
        <v>316</v>
      </c>
      <c r="C213" s="90" t="s">
        <v>560</v>
      </c>
      <c r="D213" s="28">
        <v>46122</v>
      </c>
      <c r="E213" s="28">
        <v>46149</v>
      </c>
      <c r="F213" s="8" t="s">
        <v>1052</v>
      </c>
      <c r="G213" s="8">
        <v>53</v>
      </c>
      <c r="H213" s="8" t="s">
        <v>1101</v>
      </c>
      <c r="I213" s="8"/>
      <c r="J213" s="8"/>
      <c r="K213" s="8"/>
      <c r="L213" s="104"/>
      <c r="M213" s="163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7">
        <f t="shared" si="3"/>
        <v>0</v>
      </c>
      <c r="AD213" s="5"/>
    </row>
    <row r="214" spans="1:30" ht="37.5" customHeight="1" x14ac:dyDescent="0.35">
      <c r="A214" s="15" t="s">
        <v>852</v>
      </c>
      <c r="B214" s="97" t="s">
        <v>1210</v>
      </c>
      <c r="C214" s="90">
        <v>2602</v>
      </c>
      <c r="D214" s="28">
        <v>46191</v>
      </c>
      <c r="E214" s="8"/>
      <c r="F214" s="11" t="s">
        <v>1163</v>
      </c>
      <c r="G214" s="8">
        <v>60</v>
      </c>
      <c r="H214" s="8" t="s">
        <v>1202</v>
      </c>
      <c r="I214" s="95"/>
      <c r="J214" s="95"/>
      <c r="K214" s="138"/>
      <c r="L214" s="154">
        <v>5500</v>
      </c>
      <c r="M214" s="166"/>
      <c r="N214" s="135">
        <v>46134</v>
      </c>
      <c r="O214" s="137">
        <v>3000</v>
      </c>
      <c r="P214" s="136" t="s">
        <v>1029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7">
        <f t="shared" si="3"/>
        <v>2500</v>
      </c>
      <c r="AD214" s="1"/>
    </row>
    <row r="215" spans="1:30" ht="28.5" customHeight="1" x14ac:dyDescent="0.35">
      <c r="A215" s="15" t="s">
        <v>853</v>
      </c>
      <c r="B215" s="97" t="s">
        <v>1214</v>
      </c>
      <c r="C215" s="90">
        <v>1947</v>
      </c>
      <c r="D215" s="28">
        <v>46136</v>
      </c>
      <c r="E215" s="8"/>
      <c r="F215" s="11" t="s">
        <v>1163</v>
      </c>
      <c r="G215" s="8">
        <v>105</v>
      </c>
      <c r="H215" s="11" t="s">
        <v>1240</v>
      </c>
      <c r="I215" s="95"/>
      <c r="J215" s="95"/>
      <c r="K215" s="95"/>
      <c r="L215" s="98"/>
      <c r="M215" s="167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7">
        <f t="shared" si="3"/>
        <v>0</v>
      </c>
      <c r="AD215" s="1"/>
    </row>
    <row r="216" spans="1:30" ht="28.5" customHeight="1" x14ac:dyDescent="0.35">
      <c r="A216" s="15" t="s">
        <v>1215</v>
      </c>
      <c r="B216" s="97" t="s">
        <v>1220</v>
      </c>
      <c r="C216" s="90">
        <v>1951</v>
      </c>
      <c r="D216" s="28">
        <v>46136</v>
      </c>
      <c r="E216" s="8"/>
      <c r="F216" s="11" t="s">
        <v>1119</v>
      </c>
      <c r="G216" s="8">
        <v>47</v>
      </c>
      <c r="H216" s="8" t="s">
        <v>1241</v>
      </c>
      <c r="I216" s="1"/>
      <c r="J216" s="1"/>
      <c r="K216" s="1"/>
      <c r="L216" s="56"/>
      <c r="M216" s="168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7">
        <f t="shared" si="3"/>
        <v>0</v>
      </c>
      <c r="AD216" s="1"/>
    </row>
    <row r="217" spans="1:30" ht="28.5" customHeight="1" x14ac:dyDescent="0.35">
      <c r="A217" s="15" t="s">
        <v>1216</v>
      </c>
      <c r="B217" s="97" t="s">
        <v>1221</v>
      </c>
      <c r="C217" s="90">
        <v>1946</v>
      </c>
      <c r="D217" s="28">
        <v>46136</v>
      </c>
      <c r="E217" s="8"/>
      <c r="F217" s="11" t="s">
        <v>1119</v>
      </c>
      <c r="G217" s="8">
        <v>78</v>
      </c>
      <c r="H217" s="8" t="s">
        <v>1242</v>
      </c>
      <c r="I217" s="1"/>
      <c r="J217" s="1"/>
      <c r="K217" s="1"/>
      <c r="L217" s="56"/>
      <c r="M217" s="168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7">
        <f t="shared" si="3"/>
        <v>0</v>
      </c>
      <c r="AD217" s="1"/>
    </row>
    <row r="218" spans="1:30" ht="28.5" customHeight="1" x14ac:dyDescent="0.35">
      <c r="A218" s="15" t="s">
        <v>1217</v>
      </c>
      <c r="B218" s="97" t="s">
        <v>1222</v>
      </c>
      <c r="C218" s="90">
        <v>1944</v>
      </c>
      <c r="D218" s="28">
        <v>46136</v>
      </c>
      <c r="E218" s="8"/>
      <c r="F218" s="11" t="s">
        <v>1243</v>
      </c>
      <c r="G218" s="8">
        <v>70</v>
      </c>
      <c r="H218" s="8" t="s">
        <v>1244</v>
      </c>
      <c r="I218" s="1"/>
      <c r="J218" s="1"/>
      <c r="K218" s="1"/>
      <c r="L218" s="56"/>
      <c r="M218" s="168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7">
        <f t="shared" si="3"/>
        <v>0</v>
      </c>
      <c r="AD218" s="1"/>
    </row>
    <row r="219" spans="1:30" ht="28.5" customHeight="1" x14ac:dyDescent="0.35">
      <c r="A219" s="15" t="s">
        <v>1218</v>
      </c>
      <c r="B219" s="97" t="s">
        <v>1233</v>
      </c>
      <c r="C219" s="90">
        <v>2149</v>
      </c>
      <c r="D219" s="28">
        <v>46136</v>
      </c>
      <c r="E219" s="8"/>
      <c r="F219" s="11" t="s">
        <v>1119</v>
      </c>
      <c r="G219" s="8">
        <v>89</v>
      </c>
      <c r="H219" s="8" t="s">
        <v>1245</v>
      </c>
      <c r="I219" s="1"/>
      <c r="J219" s="1"/>
      <c r="K219" s="1"/>
      <c r="L219" s="56"/>
      <c r="M219" s="168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7">
        <f t="shared" si="3"/>
        <v>0</v>
      </c>
      <c r="AD219" s="1"/>
    </row>
    <row r="220" spans="1:30" ht="28.5" customHeight="1" x14ac:dyDescent="0.35">
      <c r="A220" s="15" t="s">
        <v>1219</v>
      </c>
      <c r="B220" s="97" t="s">
        <v>1234</v>
      </c>
      <c r="C220" s="90">
        <v>2148</v>
      </c>
      <c r="D220" s="28">
        <v>46136</v>
      </c>
      <c r="E220" s="8"/>
      <c r="F220" s="11" t="s">
        <v>1163</v>
      </c>
      <c r="G220" s="8">
        <v>63</v>
      </c>
      <c r="H220" s="8" t="s">
        <v>1245</v>
      </c>
      <c r="I220" s="1"/>
      <c r="J220" s="1"/>
      <c r="K220" s="1"/>
      <c r="L220" s="56"/>
      <c r="M220" s="168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7">
        <f t="shared" si="3"/>
        <v>0</v>
      </c>
      <c r="AD220" s="1"/>
    </row>
    <row r="221" spans="1:30" ht="28" x14ac:dyDescent="0.35">
      <c r="A221" s="15" t="s">
        <v>1223</v>
      </c>
      <c r="B221" s="97" t="s">
        <v>1238</v>
      </c>
      <c r="C221" s="90">
        <v>1948</v>
      </c>
      <c r="D221" s="28">
        <v>46136</v>
      </c>
      <c r="E221" s="8"/>
      <c r="F221" s="11" t="s">
        <v>1119</v>
      </c>
      <c r="G221" s="8">
        <v>66</v>
      </c>
      <c r="H221" s="8" t="s">
        <v>1245</v>
      </c>
      <c r="I221" s="1"/>
      <c r="J221" s="1"/>
      <c r="K221" s="1"/>
      <c r="L221" s="56"/>
      <c r="M221" s="168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7">
        <f t="shared" si="3"/>
        <v>0</v>
      </c>
      <c r="AD221" s="1"/>
    </row>
    <row r="222" spans="1:30" ht="42" x14ac:dyDescent="0.35">
      <c r="A222" s="15" t="s">
        <v>1224</v>
      </c>
      <c r="B222" s="97" t="s">
        <v>1239</v>
      </c>
      <c r="C222" s="90">
        <v>2217</v>
      </c>
      <c r="D222" s="28">
        <v>46136</v>
      </c>
      <c r="E222" s="28"/>
      <c r="F222" s="11" t="s">
        <v>1250</v>
      </c>
      <c r="G222" s="8">
        <v>38549</v>
      </c>
      <c r="H222" s="11" t="s">
        <v>1249</v>
      </c>
      <c r="I222" s="1"/>
      <c r="J222" s="1"/>
      <c r="K222" s="1"/>
      <c r="L222" s="56"/>
      <c r="M222" s="168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7">
        <f t="shared" si="3"/>
        <v>0</v>
      </c>
      <c r="AD222" s="1"/>
    </row>
    <row r="223" spans="1:30" ht="41.15" customHeight="1" x14ac:dyDescent="0.35">
      <c r="A223" s="15" t="s">
        <v>1225</v>
      </c>
      <c r="B223" s="47" t="s">
        <v>1021</v>
      </c>
      <c r="C223" s="29"/>
      <c r="D223" s="49">
        <v>46191</v>
      </c>
      <c r="E223" s="1"/>
      <c r="F223" s="60" t="s">
        <v>1041</v>
      </c>
      <c r="G223" s="44">
        <v>28630</v>
      </c>
      <c r="H223" s="11" t="s">
        <v>1086</v>
      </c>
      <c r="I223" s="1"/>
      <c r="J223" s="1"/>
      <c r="K223" s="1"/>
      <c r="L223" s="196">
        <v>65000</v>
      </c>
      <c r="M223" s="190"/>
      <c r="N223" s="191">
        <v>46093</v>
      </c>
      <c r="O223" s="192">
        <v>16000</v>
      </c>
      <c r="P223" s="193" t="s">
        <v>19</v>
      </c>
      <c r="Q223" s="191">
        <v>46114</v>
      </c>
      <c r="R223" s="192">
        <v>10000</v>
      </c>
      <c r="S223" s="193" t="s">
        <v>19</v>
      </c>
      <c r="T223" s="194"/>
      <c r="U223" s="194"/>
      <c r="V223" s="194"/>
      <c r="W223" s="194"/>
      <c r="X223" s="194"/>
      <c r="Y223" s="194"/>
      <c r="Z223" s="194"/>
      <c r="AA223" s="194"/>
      <c r="AB223" s="7"/>
      <c r="AC223" s="195">
        <f>+(L223+M223)-O223-R223-U223-X223-AA223</f>
        <v>39000</v>
      </c>
      <c r="AD223" s="1"/>
    </row>
    <row r="224" spans="1:30" ht="41.15" customHeight="1" x14ac:dyDescent="0.35">
      <c r="A224" s="15" t="s">
        <v>1226</v>
      </c>
      <c r="B224" s="97" t="s">
        <v>1301</v>
      </c>
      <c r="C224" s="90"/>
      <c r="D224" s="28"/>
      <c r="E224" s="28"/>
      <c r="F224" s="11" t="s">
        <v>1302</v>
      </c>
      <c r="G224" s="8"/>
      <c r="H224" s="8"/>
      <c r="I224" s="1"/>
      <c r="J224" s="1"/>
      <c r="K224" s="1"/>
      <c r="L224" s="196">
        <v>8000</v>
      </c>
      <c r="M224" s="168"/>
      <c r="N224" s="191">
        <v>46186</v>
      </c>
      <c r="O224" s="192">
        <v>3000</v>
      </c>
      <c r="P224" s="193" t="s">
        <v>19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7">
        <f t="shared" si="3"/>
        <v>5000</v>
      </c>
      <c r="AD224" s="1"/>
    </row>
    <row r="225" spans="1:30" ht="41.15" customHeight="1" x14ac:dyDescent="0.35">
      <c r="A225" s="15" t="s">
        <v>1227</v>
      </c>
      <c r="B225" s="152" t="s">
        <v>1308</v>
      </c>
      <c r="C225" s="90">
        <v>3617</v>
      </c>
      <c r="D225" s="28">
        <v>46191</v>
      </c>
      <c r="E225" s="28">
        <v>46214</v>
      </c>
      <c r="F225" s="11"/>
      <c r="G225" s="8"/>
      <c r="H225" s="8"/>
      <c r="I225" s="5">
        <v>660070720</v>
      </c>
      <c r="J225" s="1"/>
      <c r="K225" s="1"/>
      <c r="L225" s="56"/>
      <c r="M225" s="168"/>
      <c r="N225" s="191">
        <v>46183</v>
      </c>
      <c r="O225" s="192">
        <v>6000</v>
      </c>
      <c r="P225" s="193" t="s">
        <v>1029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7">
        <f t="shared" si="3"/>
        <v>-6000</v>
      </c>
      <c r="AD225" s="1"/>
    </row>
    <row r="226" spans="1:30" ht="41.15" customHeight="1" x14ac:dyDescent="0.35">
      <c r="A226" s="15" t="s">
        <v>1228</v>
      </c>
      <c r="B226" s="152" t="s">
        <v>1309</v>
      </c>
      <c r="C226" s="90">
        <v>3618</v>
      </c>
      <c r="D226" s="28">
        <v>46191</v>
      </c>
      <c r="E226" s="28">
        <v>46214</v>
      </c>
      <c r="F226" s="11"/>
      <c r="G226" s="8"/>
      <c r="H226" s="8"/>
      <c r="I226" s="1"/>
      <c r="J226" s="1"/>
      <c r="K226" s="1"/>
      <c r="L226" s="56"/>
      <c r="M226" s="168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7">
        <f t="shared" si="3"/>
        <v>0</v>
      </c>
      <c r="AD226" s="1"/>
    </row>
    <row r="227" spans="1:30" ht="41.15" customHeight="1" x14ac:dyDescent="0.35">
      <c r="A227" s="15" t="s">
        <v>1229</v>
      </c>
      <c r="B227" s="152" t="s">
        <v>1310</v>
      </c>
      <c r="C227" s="90">
        <v>3614</v>
      </c>
      <c r="D227" s="28">
        <v>46191</v>
      </c>
      <c r="E227" s="28"/>
      <c r="F227" s="11" t="s">
        <v>1311</v>
      </c>
      <c r="G227" s="8"/>
      <c r="H227" s="8"/>
      <c r="I227" s="1"/>
      <c r="J227" s="1"/>
      <c r="K227" s="1"/>
      <c r="L227" s="56"/>
      <c r="M227" s="168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7">
        <f t="shared" si="3"/>
        <v>0</v>
      </c>
      <c r="AD227" s="1"/>
    </row>
    <row r="228" spans="1:30" ht="41.15" customHeight="1" x14ac:dyDescent="0.35">
      <c r="A228" s="15" t="s">
        <v>1230</v>
      </c>
      <c r="B228" s="152" t="s">
        <v>1312</v>
      </c>
      <c r="C228" s="90">
        <v>3518</v>
      </c>
      <c r="D228" s="28">
        <v>46191</v>
      </c>
      <c r="E228" s="28">
        <v>46214</v>
      </c>
      <c r="F228" s="11" t="s">
        <v>1250</v>
      </c>
      <c r="G228" s="8"/>
      <c r="H228" s="8"/>
      <c r="I228" s="1"/>
      <c r="J228" s="1"/>
      <c r="K228" s="1"/>
      <c r="L228" s="56"/>
      <c r="M228" s="168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7">
        <f t="shared" si="3"/>
        <v>0</v>
      </c>
      <c r="AD228" s="1"/>
    </row>
    <row r="229" spans="1:30" ht="41.15" customHeight="1" x14ac:dyDescent="0.35">
      <c r="A229" s="15" t="s">
        <v>1231</v>
      </c>
      <c r="B229" s="152" t="s">
        <v>1313</v>
      </c>
      <c r="C229" s="90">
        <v>3517</v>
      </c>
      <c r="D229" s="28">
        <v>46191</v>
      </c>
      <c r="E229" s="28">
        <v>46214</v>
      </c>
      <c r="F229" s="1"/>
      <c r="G229" s="8"/>
      <c r="H229" s="8"/>
      <c r="I229" s="1"/>
      <c r="J229" s="1"/>
      <c r="K229" s="1"/>
      <c r="L229" s="56"/>
      <c r="M229" s="168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7">
        <f t="shared" si="3"/>
        <v>0</v>
      </c>
      <c r="AD229" s="1"/>
    </row>
    <row r="230" spans="1:30" ht="41.15" customHeight="1" x14ac:dyDescent="0.35">
      <c r="A230" s="15" t="s">
        <v>1232</v>
      </c>
      <c r="B230" s="152" t="s">
        <v>1315</v>
      </c>
      <c r="C230" s="90">
        <v>3392</v>
      </c>
      <c r="D230" s="28">
        <v>46191</v>
      </c>
      <c r="E230" s="28"/>
      <c r="F230" s="1"/>
      <c r="G230" s="8"/>
      <c r="H230" s="8"/>
      <c r="I230" s="1"/>
      <c r="J230" s="1"/>
      <c r="K230" s="1"/>
      <c r="L230" s="56"/>
      <c r="M230" s="168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7">
        <f t="shared" si="3"/>
        <v>0</v>
      </c>
      <c r="AD230" s="1"/>
    </row>
    <row r="231" spans="1:30" ht="41.15" customHeight="1" x14ac:dyDescent="0.35">
      <c r="A231" s="15" t="s">
        <v>1246</v>
      </c>
      <c r="B231" s="152" t="s">
        <v>1317</v>
      </c>
      <c r="C231" s="90">
        <v>2791</v>
      </c>
      <c r="D231" s="28">
        <v>46191</v>
      </c>
      <c r="E231" s="28">
        <v>46192</v>
      </c>
      <c r="F231" s="11" t="s">
        <v>1321</v>
      </c>
      <c r="G231" s="8"/>
      <c r="H231" s="8"/>
      <c r="I231" s="1"/>
      <c r="J231" s="1"/>
      <c r="K231" s="1"/>
      <c r="L231" s="56"/>
      <c r="M231" s="168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7">
        <f t="shared" si="3"/>
        <v>0</v>
      </c>
      <c r="AD231" s="1"/>
    </row>
    <row r="232" spans="1:30" ht="41.15" customHeight="1" x14ac:dyDescent="0.35">
      <c r="A232" s="15" t="s">
        <v>1247</v>
      </c>
      <c r="B232" s="152" t="s">
        <v>1318</v>
      </c>
      <c r="C232" s="90">
        <v>2752</v>
      </c>
      <c r="D232" s="28">
        <v>46191</v>
      </c>
      <c r="E232" s="1"/>
      <c r="F232" s="11" t="s">
        <v>1320</v>
      </c>
      <c r="G232" s="1"/>
      <c r="H232" s="8"/>
      <c r="I232" s="1"/>
      <c r="J232" s="1"/>
      <c r="K232" s="1"/>
      <c r="L232" s="56"/>
      <c r="M232" s="168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7">
        <f t="shared" si="3"/>
        <v>0</v>
      </c>
      <c r="AD232" s="1"/>
    </row>
    <row r="233" spans="1:30" ht="41.15" customHeight="1" x14ac:dyDescent="0.35">
      <c r="A233" s="15" t="s">
        <v>1248</v>
      </c>
      <c r="B233" s="152" t="s">
        <v>1319</v>
      </c>
      <c r="C233" s="90">
        <v>2750</v>
      </c>
      <c r="D233" s="28">
        <v>46191</v>
      </c>
      <c r="E233" s="1"/>
      <c r="F233" s="11" t="s">
        <v>1322</v>
      </c>
      <c r="G233" s="1"/>
      <c r="H233" s="8"/>
      <c r="I233" s="1"/>
      <c r="J233" s="1"/>
      <c r="K233" s="1"/>
      <c r="L233" s="56"/>
      <c r="M233" s="168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7">
        <f t="shared" si="3"/>
        <v>0</v>
      </c>
      <c r="AD233" s="1"/>
    </row>
    <row r="234" spans="1:30" ht="32.5" customHeight="1" x14ac:dyDescent="0.35">
      <c r="A234" s="200" t="s">
        <v>1323</v>
      </c>
      <c r="B234" s="152" t="s">
        <v>1338</v>
      </c>
      <c r="C234" s="90">
        <v>2751</v>
      </c>
      <c r="D234" s="28">
        <v>46191</v>
      </c>
      <c r="E234" s="1"/>
      <c r="F234" s="11" t="s">
        <v>1322</v>
      </c>
      <c r="G234" s="1"/>
      <c r="H234" s="1"/>
      <c r="I234" s="1"/>
      <c r="J234" s="1"/>
      <c r="K234" s="1"/>
      <c r="L234" s="56"/>
      <c r="M234" s="168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32.5" customHeight="1" x14ac:dyDescent="0.35">
      <c r="A235" s="200" t="s">
        <v>1324</v>
      </c>
      <c r="B235" s="152" t="s">
        <v>1339</v>
      </c>
      <c r="C235" s="90">
        <v>2749</v>
      </c>
      <c r="D235" s="28">
        <v>46191</v>
      </c>
      <c r="E235" s="1"/>
      <c r="F235" s="11" t="s">
        <v>1320</v>
      </c>
      <c r="G235" s="1"/>
      <c r="H235" s="1"/>
      <c r="I235" s="1"/>
      <c r="J235" s="1"/>
      <c r="K235" s="1"/>
      <c r="L235" s="56"/>
      <c r="M235" s="168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32.5" customHeight="1" x14ac:dyDescent="0.35">
      <c r="A236" s="200" t="s">
        <v>1325</v>
      </c>
      <c r="B236" s="152" t="s">
        <v>1340</v>
      </c>
      <c r="C236" s="90">
        <v>2748</v>
      </c>
      <c r="D236" s="28">
        <v>46191</v>
      </c>
      <c r="E236" s="1"/>
      <c r="F236" s="11" t="s">
        <v>1322</v>
      </c>
      <c r="G236" s="1"/>
      <c r="H236" s="1"/>
      <c r="I236" s="1"/>
      <c r="J236" s="1"/>
      <c r="K236" s="1"/>
      <c r="L236" s="56"/>
      <c r="M236" s="168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32.5" customHeight="1" x14ac:dyDescent="0.35">
      <c r="A237" s="200" t="s">
        <v>1326</v>
      </c>
      <c r="B237" s="152" t="s">
        <v>1341</v>
      </c>
      <c r="C237" s="90">
        <v>2746</v>
      </c>
      <c r="D237" s="28">
        <v>46191</v>
      </c>
      <c r="E237" s="1"/>
      <c r="F237" s="11" t="s">
        <v>1320</v>
      </c>
      <c r="G237" s="1"/>
      <c r="H237" s="1"/>
      <c r="I237" s="1"/>
      <c r="J237" s="1"/>
      <c r="K237" s="1"/>
      <c r="L237" s="56"/>
      <c r="M237" s="168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32.5" customHeight="1" x14ac:dyDescent="0.35">
      <c r="A238" s="200" t="s">
        <v>1327</v>
      </c>
      <c r="B238" s="152" t="s">
        <v>1343</v>
      </c>
      <c r="C238" s="90">
        <v>3389</v>
      </c>
      <c r="D238" s="28">
        <v>46191</v>
      </c>
      <c r="E238" s="199">
        <v>46214</v>
      </c>
      <c r="F238" s="11" t="s">
        <v>1320</v>
      </c>
      <c r="G238" s="1"/>
      <c r="H238" s="1"/>
      <c r="I238" s="1"/>
      <c r="J238" s="1"/>
      <c r="K238" s="1"/>
      <c r="L238" s="56"/>
      <c r="M238" s="168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32.5" customHeight="1" x14ac:dyDescent="0.35">
      <c r="A239" s="200" t="s">
        <v>1328</v>
      </c>
      <c r="B239" s="1" t="s">
        <v>1345</v>
      </c>
      <c r="C239" s="90">
        <v>2929</v>
      </c>
      <c r="D239" s="28">
        <v>46191</v>
      </c>
      <c r="E239" s="1"/>
      <c r="F239" s="11" t="s">
        <v>1322</v>
      </c>
      <c r="G239" s="1"/>
      <c r="H239" s="1"/>
      <c r="I239" s="1"/>
      <c r="J239" s="1"/>
      <c r="K239" s="1"/>
      <c r="L239" s="56"/>
      <c r="M239" s="168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32.5" customHeight="1" x14ac:dyDescent="0.35">
      <c r="A240" s="200" t="s">
        <v>1329</v>
      </c>
      <c r="B240" s="1" t="s">
        <v>1346</v>
      </c>
      <c r="C240" s="90">
        <v>2923</v>
      </c>
      <c r="D240" s="28">
        <v>46191</v>
      </c>
      <c r="E240" s="1"/>
      <c r="F240" s="11"/>
      <c r="G240" s="1"/>
      <c r="H240" s="1"/>
      <c r="I240" s="1"/>
      <c r="J240" s="1"/>
      <c r="K240" s="1"/>
      <c r="L240" s="56"/>
      <c r="M240" s="168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32.5" customHeight="1" x14ac:dyDescent="0.35">
      <c r="A241" s="200" t="s">
        <v>1330</v>
      </c>
      <c r="B241" s="1" t="s">
        <v>1347</v>
      </c>
      <c r="C241" s="90">
        <v>2930</v>
      </c>
      <c r="D241" s="28">
        <v>46191</v>
      </c>
      <c r="E241" s="1"/>
      <c r="F241" s="11" t="s">
        <v>1322</v>
      </c>
      <c r="G241" s="1"/>
      <c r="H241" s="1"/>
      <c r="I241" s="1"/>
      <c r="J241" s="1"/>
      <c r="K241" s="1"/>
      <c r="L241" s="56"/>
      <c r="M241" s="168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32.5" customHeight="1" x14ac:dyDescent="0.35">
      <c r="A242" s="200" t="s">
        <v>1331</v>
      </c>
      <c r="B242" s="1" t="s">
        <v>1348</v>
      </c>
      <c r="C242" s="90">
        <v>2885</v>
      </c>
      <c r="D242" s="28">
        <v>46191</v>
      </c>
      <c r="E242" s="1"/>
      <c r="F242" s="11" t="s">
        <v>1320</v>
      </c>
      <c r="G242" s="1"/>
      <c r="H242" s="1"/>
      <c r="I242" s="1"/>
      <c r="J242" s="1"/>
      <c r="K242" s="1"/>
      <c r="L242" s="56"/>
      <c r="M242" s="168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32.5" customHeight="1" x14ac:dyDescent="0.35">
      <c r="A243" s="200" t="s">
        <v>1332</v>
      </c>
      <c r="B243" s="1" t="s">
        <v>1349</v>
      </c>
      <c r="C243" s="90">
        <v>2886</v>
      </c>
      <c r="D243" s="28">
        <v>46191</v>
      </c>
      <c r="E243" s="199">
        <v>46214</v>
      </c>
      <c r="F243" s="11" t="s">
        <v>1320</v>
      </c>
      <c r="G243" s="1"/>
      <c r="H243" s="1"/>
      <c r="I243" s="1"/>
      <c r="J243" s="1"/>
      <c r="K243" s="1"/>
      <c r="L243" s="56"/>
      <c r="M243" s="168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32.5" customHeight="1" x14ac:dyDescent="0.35">
      <c r="A244" s="200" t="s">
        <v>1333</v>
      </c>
      <c r="B244" s="1" t="s">
        <v>1350</v>
      </c>
      <c r="C244" s="90">
        <v>2887</v>
      </c>
      <c r="D244" s="28">
        <v>46191</v>
      </c>
      <c r="E244" s="199">
        <v>46214</v>
      </c>
      <c r="F244" s="11"/>
      <c r="G244" s="1"/>
      <c r="H244" s="1"/>
      <c r="I244" s="1"/>
      <c r="J244" s="1"/>
      <c r="K244" s="1"/>
      <c r="L244" s="56"/>
      <c r="M244" s="168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32.5" customHeight="1" x14ac:dyDescent="0.35">
      <c r="A245" s="200" t="s">
        <v>1334</v>
      </c>
      <c r="B245" s="1" t="s">
        <v>1357</v>
      </c>
      <c r="C245" s="90">
        <v>2794</v>
      </c>
      <c r="D245" s="199">
        <v>46191</v>
      </c>
      <c r="E245" s="1"/>
      <c r="F245" s="11" t="s">
        <v>1358</v>
      </c>
      <c r="G245" s="1"/>
      <c r="H245" s="1" t="s">
        <v>1359</v>
      </c>
      <c r="I245" s="1"/>
      <c r="J245" s="1"/>
      <c r="K245" s="1"/>
      <c r="L245" s="56"/>
      <c r="M245" s="168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32.5" customHeight="1" x14ac:dyDescent="0.35">
      <c r="A246" s="200" t="s">
        <v>1335</v>
      </c>
      <c r="B246" s="1"/>
      <c r="C246" s="90"/>
      <c r="D246" s="1"/>
      <c r="E246" s="1"/>
      <c r="F246" s="1"/>
      <c r="G246" s="1"/>
      <c r="H246" s="1"/>
      <c r="I246" s="1"/>
      <c r="J246" s="1"/>
      <c r="K246" s="1"/>
      <c r="L246" s="56"/>
      <c r="M246" s="168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32.5" customHeight="1" x14ac:dyDescent="0.35">
      <c r="A247" s="200" t="s">
        <v>1336</v>
      </c>
      <c r="B247" s="1"/>
      <c r="C247" s="90"/>
      <c r="D247" s="1"/>
      <c r="E247" s="1"/>
      <c r="F247" s="1"/>
      <c r="G247" s="1"/>
      <c r="H247" s="1"/>
      <c r="I247" s="1"/>
      <c r="J247" s="1"/>
      <c r="K247" s="1"/>
      <c r="L247" s="56"/>
      <c r="M247" s="168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32.5" customHeight="1" x14ac:dyDescent="0.35">
      <c r="A248" s="200" t="s">
        <v>1337</v>
      </c>
      <c r="B248" s="1"/>
      <c r="C248" s="90"/>
      <c r="D248" s="1"/>
      <c r="E248" s="1"/>
      <c r="F248" s="1"/>
      <c r="G248" s="1"/>
      <c r="H248" s="1"/>
      <c r="I248" s="1"/>
      <c r="J248" s="1"/>
      <c r="K248" s="1"/>
      <c r="L248" s="56"/>
      <c r="M248" s="168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x14ac:dyDescent="0.35">
      <c r="B249" s="1"/>
      <c r="C249" s="90"/>
      <c r="D249" s="1"/>
      <c r="E249" s="1"/>
      <c r="F249" s="1"/>
      <c r="G249" s="1"/>
      <c r="H249" s="1"/>
      <c r="I249" s="1"/>
      <c r="J249" s="1"/>
      <c r="K249" s="1"/>
      <c r="L249" s="56"/>
      <c r="M249" s="168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x14ac:dyDescent="0.35">
      <c r="B250" s="1"/>
      <c r="C250" s="90"/>
      <c r="D250" s="1"/>
      <c r="E250" s="1"/>
      <c r="F250" s="1"/>
      <c r="G250" s="1"/>
      <c r="H250" s="1"/>
      <c r="I250" s="1"/>
      <c r="J250" s="1"/>
      <c r="K250" s="1"/>
      <c r="L250" s="56"/>
      <c r="M250" s="168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x14ac:dyDescent="0.35">
      <c r="B251" s="1"/>
      <c r="C251" s="90"/>
      <c r="D251" s="1"/>
      <c r="E251" s="1"/>
      <c r="F251" s="1"/>
      <c r="G251" s="1"/>
      <c r="H251" s="1"/>
      <c r="I251" s="1"/>
      <c r="J251" s="1"/>
      <c r="K251" s="1"/>
      <c r="L251" s="56"/>
      <c r="M251" s="168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x14ac:dyDescent="0.35">
      <c r="B252" s="1"/>
      <c r="C252" s="90"/>
      <c r="D252" s="1"/>
      <c r="E252" s="1"/>
      <c r="F252" s="1"/>
      <c r="G252" s="1"/>
      <c r="H252" s="1"/>
      <c r="I252" s="1"/>
      <c r="J252" s="1"/>
      <c r="K252" s="1"/>
      <c r="L252" s="56"/>
      <c r="M252" s="168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x14ac:dyDescent="0.35">
      <c r="B253" s="1"/>
      <c r="C253" s="90"/>
      <c r="D253" s="1"/>
      <c r="E253" s="1"/>
      <c r="F253" s="1"/>
      <c r="G253" s="1"/>
      <c r="H253" s="1"/>
      <c r="I253" s="1"/>
      <c r="J253" s="1"/>
      <c r="K253" s="1"/>
      <c r="L253" s="56"/>
      <c r="M253" s="168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x14ac:dyDescent="0.35">
      <c r="B254" s="1"/>
      <c r="C254" s="90"/>
      <c r="D254" s="1"/>
      <c r="E254" s="1"/>
      <c r="F254" s="1"/>
      <c r="G254" s="1"/>
      <c r="H254" s="1"/>
      <c r="I254" s="1"/>
      <c r="J254" s="1"/>
      <c r="K254" s="1"/>
      <c r="L254" s="56"/>
      <c r="M254" s="168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x14ac:dyDescent="0.35">
      <c r="B255" s="1"/>
      <c r="C255" s="90"/>
      <c r="D255" s="1"/>
      <c r="E255" s="1"/>
      <c r="F255" s="1"/>
      <c r="G255" s="1"/>
      <c r="H255" s="1"/>
      <c r="I255" s="1"/>
      <c r="J255" s="1"/>
      <c r="K255" s="1"/>
      <c r="L255" s="56"/>
      <c r="M255" s="168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x14ac:dyDescent="0.35">
      <c r="B256" s="1"/>
      <c r="C256" s="90"/>
      <c r="D256" s="1"/>
      <c r="E256" s="1"/>
      <c r="F256" s="1"/>
      <c r="G256" s="1"/>
      <c r="H256" s="1"/>
      <c r="I256" s="1"/>
      <c r="J256" s="1"/>
      <c r="K256" s="1"/>
      <c r="L256" s="56"/>
      <c r="M256" s="168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2:30" x14ac:dyDescent="0.35">
      <c r="B257" s="1"/>
      <c r="C257" s="90"/>
      <c r="D257" s="1"/>
      <c r="E257" s="1"/>
      <c r="F257" s="1"/>
      <c r="G257" s="1"/>
      <c r="H257" s="1"/>
      <c r="I257" s="1"/>
      <c r="J257" s="1"/>
      <c r="K257" s="1"/>
      <c r="L257" s="56"/>
      <c r="M257" s="168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2:30" x14ac:dyDescent="0.35">
      <c r="B258" s="1"/>
      <c r="C258" s="90"/>
      <c r="D258" s="1"/>
      <c r="E258" s="1"/>
      <c r="F258" s="1"/>
      <c r="G258" s="1"/>
      <c r="H258" s="1"/>
      <c r="I258" s="1"/>
      <c r="J258" s="1"/>
      <c r="K258" s="1"/>
      <c r="L258" s="56"/>
      <c r="M258" s="168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2:30" x14ac:dyDescent="0.35">
      <c r="B259" s="1"/>
      <c r="C259" s="90"/>
      <c r="D259" s="1"/>
      <c r="E259" s="1"/>
      <c r="F259" s="1"/>
      <c r="G259" s="1"/>
      <c r="H259" s="1"/>
      <c r="I259" s="1"/>
      <c r="J259" s="1"/>
      <c r="K259" s="1"/>
      <c r="L259" s="56"/>
      <c r="M259" s="168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2:30" x14ac:dyDescent="0.35">
      <c r="B260" s="1"/>
      <c r="C260" s="90"/>
      <c r="D260" s="1"/>
      <c r="E260" s="1"/>
      <c r="F260" s="1"/>
      <c r="G260" s="1"/>
      <c r="H260" s="1"/>
      <c r="I260" s="1"/>
      <c r="J260" s="1"/>
      <c r="K260" s="1"/>
      <c r="L260" s="56"/>
      <c r="M260" s="168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2:30" x14ac:dyDescent="0.35">
      <c r="B261" s="1"/>
      <c r="C261" s="90"/>
      <c r="D261" s="1"/>
      <c r="E261" s="1"/>
      <c r="F261" s="1"/>
      <c r="G261" s="1"/>
      <c r="H261" s="1"/>
      <c r="I261" s="1"/>
      <c r="J261" s="1"/>
      <c r="K261" s="1"/>
      <c r="L261" s="56"/>
      <c r="M261" s="168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2:30" x14ac:dyDescent="0.35">
      <c r="B262" s="1"/>
      <c r="C262" s="90"/>
      <c r="D262" s="1"/>
      <c r="E262" s="1"/>
      <c r="F262" s="1"/>
      <c r="G262" s="1"/>
      <c r="H262" s="1"/>
      <c r="I262" s="1"/>
      <c r="J262" s="1"/>
      <c r="K262" s="1"/>
      <c r="L262" s="56"/>
      <c r="M262" s="168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2:30" x14ac:dyDescent="0.35">
      <c r="B263" s="1"/>
      <c r="C263" s="90"/>
      <c r="D263" s="1"/>
      <c r="E263" s="1"/>
      <c r="F263" s="1"/>
      <c r="G263" s="1"/>
      <c r="H263" s="1"/>
      <c r="I263" s="1"/>
      <c r="J263" s="1"/>
      <c r="K263" s="1"/>
      <c r="L263" s="56"/>
      <c r="M263" s="168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2:30" x14ac:dyDescent="0.35">
      <c r="B264" s="1"/>
      <c r="C264" s="90"/>
      <c r="D264" s="1"/>
      <c r="E264" s="1"/>
      <c r="F264" s="1"/>
      <c r="G264" s="1"/>
      <c r="H264" s="1"/>
      <c r="I264" s="1"/>
      <c r="J264" s="1"/>
      <c r="K264" s="1"/>
      <c r="L264" s="56"/>
      <c r="M264" s="168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2:30" x14ac:dyDescent="0.35">
      <c r="B265" s="1"/>
      <c r="C265" s="90"/>
      <c r="D265" s="1"/>
      <c r="E265" s="1"/>
      <c r="F265" s="1"/>
      <c r="G265" s="1"/>
      <c r="H265" s="1"/>
      <c r="I265" s="1"/>
      <c r="J265" s="1"/>
      <c r="K265" s="1"/>
      <c r="L265" s="56"/>
      <c r="M265" s="168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2:30" x14ac:dyDescent="0.35">
      <c r="B266" s="1"/>
      <c r="C266" s="90"/>
      <c r="D266" s="1"/>
      <c r="E266" s="1"/>
      <c r="F266" s="1"/>
      <c r="G266" s="1"/>
      <c r="H266" s="1"/>
      <c r="I266" s="1"/>
      <c r="J266" s="1"/>
      <c r="K266" s="1"/>
      <c r="L266" s="56"/>
      <c r="M266" s="168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2:30" x14ac:dyDescent="0.35">
      <c r="B267" s="1"/>
      <c r="C267" s="90"/>
      <c r="D267" s="1"/>
      <c r="E267" s="1"/>
      <c r="F267" s="1"/>
      <c r="G267" s="1"/>
      <c r="H267" s="1"/>
      <c r="I267" s="1"/>
      <c r="J267" s="1"/>
      <c r="K267" s="1"/>
      <c r="L267" s="56"/>
      <c r="M267" s="168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2:30" x14ac:dyDescent="0.35">
      <c r="B268" s="1"/>
      <c r="C268" s="90"/>
      <c r="D268" s="1"/>
      <c r="E268" s="1"/>
      <c r="F268" s="1"/>
      <c r="G268" s="1"/>
      <c r="H268" s="1"/>
      <c r="I268" s="1"/>
      <c r="J268" s="1"/>
      <c r="K268" s="1"/>
      <c r="L268" s="56"/>
      <c r="M268" s="168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2:30" x14ac:dyDescent="0.35">
      <c r="B269" s="1"/>
      <c r="C269" s="90"/>
      <c r="D269" s="1"/>
      <c r="E269" s="1"/>
      <c r="F269" s="1"/>
      <c r="G269" s="1"/>
      <c r="H269" s="1"/>
      <c r="I269" s="1"/>
      <c r="J269" s="1"/>
      <c r="K269" s="1"/>
      <c r="L269" s="56"/>
      <c r="M269" s="168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2:30" x14ac:dyDescent="0.35">
      <c r="B270" s="1"/>
      <c r="C270" s="90"/>
      <c r="D270" s="1"/>
      <c r="E270" s="1"/>
      <c r="F270" s="1"/>
      <c r="G270" s="1"/>
      <c r="H270" s="1"/>
      <c r="I270" s="1"/>
      <c r="J270" s="1"/>
      <c r="K270" s="1"/>
      <c r="L270" s="56"/>
      <c r="M270" s="168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2:30" x14ac:dyDescent="0.35">
      <c r="B271" s="1"/>
      <c r="C271" s="90"/>
      <c r="D271" s="1"/>
      <c r="E271" s="1"/>
      <c r="F271" s="1"/>
      <c r="G271" s="1"/>
      <c r="H271" s="1"/>
      <c r="I271" s="1"/>
      <c r="J271" s="1"/>
      <c r="K271" s="1"/>
      <c r="L271" s="56"/>
      <c r="M271" s="168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2:30" x14ac:dyDescent="0.35">
      <c r="B272" s="1"/>
      <c r="C272" s="90"/>
      <c r="D272" s="1"/>
      <c r="E272" s="1"/>
      <c r="F272" s="1"/>
      <c r="G272" s="1"/>
      <c r="H272" s="1"/>
      <c r="I272" s="1"/>
      <c r="J272" s="1"/>
      <c r="K272" s="1"/>
      <c r="L272" s="56"/>
      <c r="M272" s="168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2:30" x14ac:dyDescent="0.35">
      <c r="B273" s="1"/>
      <c r="C273" s="90"/>
      <c r="D273" s="1"/>
      <c r="E273" s="1"/>
      <c r="F273" s="1"/>
      <c r="G273" s="1"/>
      <c r="H273" s="1"/>
      <c r="I273" s="1"/>
      <c r="J273" s="1"/>
      <c r="K273" s="1"/>
      <c r="L273" s="56"/>
      <c r="M273" s="168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2:30" x14ac:dyDescent="0.35">
      <c r="B274" s="1"/>
      <c r="C274" s="90"/>
      <c r="D274" s="1"/>
      <c r="E274" s="1"/>
      <c r="F274" s="1"/>
      <c r="G274" s="1"/>
      <c r="H274" s="1"/>
      <c r="I274" s="1"/>
      <c r="J274" s="1"/>
      <c r="K274" s="1"/>
      <c r="L274" s="56"/>
      <c r="M274" s="168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2:30" x14ac:dyDescent="0.35">
      <c r="B275" s="1"/>
      <c r="C275" s="90"/>
      <c r="D275" s="1"/>
      <c r="E275" s="1"/>
      <c r="F275" s="1"/>
      <c r="G275" s="1"/>
      <c r="H275" s="1"/>
      <c r="I275" s="1"/>
      <c r="J275" s="1"/>
      <c r="K275" s="1"/>
      <c r="L275" s="56"/>
      <c r="M275" s="168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2:30" x14ac:dyDescent="0.35">
      <c r="B276" s="1"/>
      <c r="C276" s="90"/>
      <c r="D276" s="1"/>
      <c r="E276" s="1"/>
      <c r="F276" s="1"/>
      <c r="G276" s="1"/>
      <c r="H276" s="1"/>
      <c r="I276" s="1"/>
      <c r="J276" s="1"/>
      <c r="K276" s="1"/>
      <c r="L276" s="56"/>
      <c r="M276" s="168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2:30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56"/>
      <c r="M277" s="168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2:30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56"/>
      <c r="M278" s="168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2:30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56"/>
      <c r="M279" s="168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2:30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56"/>
      <c r="M280" s="168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2:30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56"/>
      <c r="M281" s="168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2:30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56"/>
      <c r="M282" s="168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2:30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56"/>
      <c r="M283" s="168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2:30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56"/>
      <c r="M284" s="168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</sheetData>
  <mergeCells count="18">
    <mergeCell ref="AD2:AD3"/>
    <mergeCell ref="N2:P2"/>
    <mergeCell ref="Q2:S2"/>
    <mergeCell ref="T2:V2"/>
    <mergeCell ref="W2:Y2"/>
    <mergeCell ref="Z2:AB2"/>
    <mergeCell ref="AC2:AC3"/>
    <mergeCell ref="M2:M3"/>
    <mergeCell ref="L2:L3"/>
    <mergeCell ref="A2:A3"/>
    <mergeCell ref="B2:B3"/>
    <mergeCell ref="F2:F3"/>
    <mergeCell ref="C2:E2"/>
    <mergeCell ref="G2:G3"/>
    <mergeCell ref="I2:I3"/>
    <mergeCell ref="H2:H3"/>
    <mergeCell ref="J2:J3"/>
    <mergeCell ref="K2:K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AD41"/>
  <sheetViews>
    <sheetView zoomScale="58" zoomScaleNormal="58" workbookViewId="0">
      <selection activeCell="C22" sqref="C22"/>
    </sheetView>
  </sheetViews>
  <sheetFormatPr baseColWidth="10" defaultColWidth="8.81640625" defaultRowHeight="14.5" x14ac:dyDescent="0.35"/>
  <cols>
    <col min="2" max="2" width="32.1796875" customWidth="1"/>
    <col min="3" max="3" width="11.1796875" customWidth="1"/>
    <col min="4" max="4" width="13.81640625" customWidth="1"/>
    <col min="5" max="5" width="11.1796875" customWidth="1"/>
    <col min="6" max="6" width="29.81640625" customWidth="1"/>
    <col min="8" max="8" width="35.1796875" customWidth="1"/>
    <col min="9" max="9" width="15.1796875" customWidth="1"/>
    <col min="10" max="10" width="14.54296875" customWidth="1"/>
    <col min="11" max="11" width="15.453125" customWidth="1"/>
    <col min="12" max="13" width="9.81640625" style="179" customWidth="1"/>
  </cols>
  <sheetData>
    <row r="1" spans="1:30" x14ac:dyDescent="0.35">
      <c r="L1"/>
      <c r="M1"/>
    </row>
    <row r="2" spans="1:30" ht="14.5" customHeight="1" x14ac:dyDescent="0.35">
      <c r="A2" s="224" t="s">
        <v>0</v>
      </c>
      <c r="B2" s="224" t="s">
        <v>1044</v>
      </c>
      <c r="C2" s="225" t="s">
        <v>22</v>
      </c>
      <c r="D2" s="226"/>
      <c r="E2" s="227"/>
      <c r="F2" s="224" t="s">
        <v>2</v>
      </c>
      <c r="G2" s="224" t="s">
        <v>3</v>
      </c>
      <c r="H2" s="224" t="s">
        <v>5</v>
      </c>
      <c r="I2" s="224" t="s">
        <v>4</v>
      </c>
      <c r="J2" s="224" t="s">
        <v>6</v>
      </c>
      <c r="K2" s="224" t="s">
        <v>25</v>
      </c>
      <c r="L2" s="224" t="s">
        <v>1260</v>
      </c>
      <c r="M2" s="224" t="s">
        <v>1261</v>
      </c>
      <c r="N2" s="225" t="s">
        <v>7</v>
      </c>
      <c r="O2" s="226"/>
      <c r="P2" s="227"/>
      <c r="Q2" s="225" t="s">
        <v>8</v>
      </c>
      <c r="R2" s="226"/>
      <c r="S2" s="227"/>
      <c r="T2" s="225" t="s">
        <v>9</v>
      </c>
      <c r="U2" s="226"/>
      <c r="V2" s="227"/>
      <c r="W2" s="225" t="s">
        <v>10</v>
      </c>
      <c r="X2" s="226"/>
      <c r="Y2" s="227"/>
      <c r="Z2" s="225" t="s">
        <v>13</v>
      </c>
      <c r="AA2" s="226"/>
      <c r="AB2" s="227"/>
      <c r="AC2" s="224" t="s">
        <v>14</v>
      </c>
      <c r="AD2" s="224" t="s">
        <v>109</v>
      </c>
    </row>
    <row r="3" spans="1:30" ht="21" x14ac:dyDescent="0.35">
      <c r="A3" s="224"/>
      <c r="B3" s="224"/>
      <c r="C3" s="16" t="s">
        <v>23</v>
      </c>
      <c r="D3" s="16" t="s">
        <v>24</v>
      </c>
      <c r="E3" s="16" t="s">
        <v>1026</v>
      </c>
      <c r="F3" s="224"/>
      <c r="G3" s="224"/>
      <c r="H3" s="224"/>
      <c r="I3" s="224"/>
      <c r="J3" s="224"/>
      <c r="K3" s="224"/>
      <c r="L3" s="224"/>
      <c r="M3" s="224"/>
      <c r="N3" s="16" t="s">
        <v>1</v>
      </c>
      <c r="O3" s="16" t="s">
        <v>11</v>
      </c>
      <c r="P3" s="16" t="s">
        <v>12</v>
      </c>
      <c r="Q3" s="16" t="s">
        <v>1</v>
      </c>
      <c r="R3" s="16" t="s">
        <v>11</v>
      </c>
      <c r="S3" s="16" t="s">
        <v>12</v>
      </c>
      <c r="T3" s="16" t="s">
        <v>1</v>
      </c>
      <c r="U3" s="16" t="s">
        <v>11</v>
      </c>
      <c r="V3" s="16" t="s">
        <v>12</v>
      </c>
      <c r="W3" s="16" t="s">
        <v>1</v>
      </c>
      <c r="X3" s="16" t="s">
        <v>11</v>
      </c>
      <c r="Y3" s="16" t="s">
        <v>12</v>
      </c>
      <c r="Z3" s="16" t="s">
        <v>1</v>
      </c>
      <c r="AA3" s="16" t="s">
        <v>11</v>
      </c>
      <c r="AB3" s="16" t="s">
        <v>12</v>
      </c>
      <c r="AC3" s="224"/>
      <c r="AD3" s="224"/>
    </row>
    <row r="4" spans="1:30" x14ac:dyDescent="0.35">
      <c r="A4" s="17" t="s">
        <v>65</v>
      </c>
      <c r="B4" s="25" t="s">
        <v>869</v>
      </c>
      <c r="C4" s="29" t="s">
        <v>902</v>
      </c>
      <c r="D4" s="26">
        <v>45777</v>
      </c>
      <c r="E4" s="9"/>
      <c r="F4" s="129"/>
      <c r="G4" s="130"/>
      <c r="H4" s="129"/>
      <c r="I4" s="9"/>
      <c r="J4" s="9"/>
      <c r="K4" s="9"/>
      <c r="L4" s="175"/>
      <c r="M4" s="175"/>
      <c r="N4" s="9"/>
      <c r="O4" s="9"/>
      <c r="P4" s="9"/>
      <c r="Q4" s="9"/>
      <c r="R4" s="9"/>
      <c r="S4" s="9"/>
      <c r="T4" s="9"/>
      <c r="U4" s="9"/>
      <c r="V4" s="9"/>
      <c r="W4" s="6"/>
      <c r="X4" s="6"/>
      <c r="Y4" s="6"/>
      <c r="Z4" s="6"/>
      <c r="AA4" s="7"/>
      <c r="AB4" s="6"/>
      <c r="AC4" s="7">
        <f>+(L4+M4)-O4-R4-U4-X4-AA4</f>
        <v>0</v>
      </c>
      <c r="AD4" s="1"/>
    </row>
    <row r="5" spans="1:30" x14ac:dyDescent="0.35">
      <c r="A5" s="17" t="s">
        <v>66</v>
      </c>
      <c r="B5" s="25" t="s">
        <v>870</v>
      </c>
      <c r="C5" s="30" t="s">
        <v>903</v>
      </c>
      <c r="D5" s="27"/>
      <c r="E5" s="10"/>
      <c r="F5" s="129"/>
      <c r="G5" s="130"/>
      <c r="H5" s="129"/>
      <c r="I5" s="10"/>
      <c r="J5" s="10"/>
      <c r="K5" s="10"/>
      <c r="L5" s="176"/>
      <c r="M5" s="176"/>
      <c r="N5" s="10"/>
      <c r="O5" s="10"/>
      <c r="P5" s="10"/>
      <c r="Q5" s="10"/>
      <c r="R5" s="10"/>
      <c r="S5" s="10"/>
      <c r="T5" s="10"/>
      <c r="U5" s="10"/>
      <c r="V5" s="10"/>
      <c r="W5" s="1"/>
      <c r="X5" s="1"/>
      <c r="Y5" s="1"/>
      <c r="Z5" s="1"/>
      <c r="AA5" s="3"/>
      <c r="AB5" s="1"/>
      <c r="AC5" s="7">
        <f t="shared" ref="AC5:AC40" si="0">+(L5+M5)-O5-R5-U5-X5-AA5</f>
        <v>0</v>
      </c>
      <c r="AD5" s="1"/>
    </row>
    <row r="6" spans="1:30" ht="15" x14ac:dyDescent="0.35">
      <c r="A6" s="17" t="s">
        <v>67</v>
      </c>
      <c r="B6" s="25" t="s">
        <v>871</v>
      </c>
      <c r="C6" s="30" t="s">
        <v>904</v>
      </c>
      <c r="D6" s="27"/>
      <c r="E6" s="1"/>
      <c r="F6" s="129"/>
      <c r="G6" s="130"/>
      <c r="H6" s="129"/>
      <c r="I6" s="1"/>
      <c r="J6" s="1"/>
      <c r="K6" s="1"/>
      <c r="L6" s="177"/>
      <c r="M6" s="177"/>
      <c r="N6" s="1"/>
      <c r="O6" s="7"/>
      <c r="P6" s="1"/>
      <c r="Q6" s="1"/>
      <c r="R6" s="7"/>
      <c r="S6" s="1"/>
      <c r="T6" s="1"/>
      <c r="U6" s="1"/>
      <c r="V6" s="1"/>
      <c r="W6" s="1"/>
      <c r="X6" s="1"/>
      <c r="Y6" s="1"/>
      <c r="Z6" s="1"/>
      <c r="AA6" s="3"/>
      <c r="AB6" s="1"/>
      <c r="AC6" s="7">
        <f t="shared" si="0"/>
        <v>0</v>
      </c>
      <c r="AD6" s="1"/>
    </row>
    <row r="7" spans="1:30" ht="23" x14ac:dyDescent="0.35">
      <c r="A7" s="17" t="s">
        <v>68</v>
      </c>
      <c r="B7" s="25" t="s">
        <v>872</v>
      </c>
      <c r="C7" s="29" t="s">
        <v>905</v>
      </c>
      <c r="D7" s="26">
        <v>45790</v>
      </c>
      <c r="E7" s="1"/>
      <c r="F7" s="129" t="s">
        <v>1189</v>
      </c>
      <c r="G7" s="130">
        <v>210</v>
      </c>
      <c r="H7" s="129" t="s">
        <v>1190</v>
      </c>
      <c r="I7" s="1"/>
      <c r="J7" s="1"/>
      <c r="K7" s="1"/>
      <c r="L7" s="177"/>
      <c r="M7" s="177"/>
      <c r="N7" s="1"/>
      <c r="O7" s="7"/>
      <c r="P7" s="1"/>
      <c r="Q7" s="1"/>
      <c r="R7" s="7"/>
      <c r="S7" s="1"/>
      <c r="T7" s="1"/>
      <c r="U7" s="1"/>
      <c r="V7" s="1"/>
      <c r="W7" s="1"/>
      <c r="X7" s="1"/>
      <c r="Y7" s="1"/>
      <c r="Z7" s="1"/>
      <c r="AA7" s="3"/>
      <c r="AB7" s="1"/>
      <c r="AC7" s="7">
        <f t="shared" si="0"/>
        <v>0</v>
      </c>
      <c r="AD7" s="1"/>
    </row>
    <row r="8" spans="1:30" ht="15" x14ac:dyDescent="0.35">
      <c r="A8" s="17" t="s">
        <v>69</v>
      </c>
      <c r="B8" s="25" t="s">
        <v>1186</v>
      </c>
      <c r="C8" s="29" t="s">
        <v>906</v>
      </c>
      <c r="D8" s="26">
        <v>45792</v>
      </c>
      <c r="E8" s="1"/>
      <c r="F8" s="129" t="s">
        <v>1187</v>
      </c>
      <c r="G8" s="130">
        <v>2494</v>
      </c>
      <c r="H8" s="129" t="s">
        <v>1188</v>
      </c>
      <c r="I8" s="1"/>
      <c r="J8" s="1"/>
      <c r="K8" s="1"/>
      <c r="L8" s="177"/>
      <c r="M8" s="177"/>
      <c r="N8" s="1"/>
      <c r="O8" s="7"/>
      <c r="P8" s="1"/>
      <c r="Q8" s="1"/>
      <c r="R8" s="7"/>
      <c r="S8" s="1"/>
      <c r="T8" s="1"/>
      <c r="U8" s="1"/>
      <c r="V8" s="1"/>
      <c r="W8" s="1"/>
      <c r="X8" s="1"/>
      <c r="Y8" s="1"/>
      <c r="Z8" s="1"/>
      <c r="AA8" s="3"/>
      <c r="AB8" s="1"/>
      <c r="AC8" s="7">
        <f t="shared" si="0"/>
        <v>0</v>
      </c>
      <c r="AD8" s="1"/>
    </row>
    <row r="9" spans="1:30" ht="15" x14ac:dyDescent="0.35">
      <c r="A9" s="17" t="s">
        <v>70</v>
      </c>
      <c r="B9" s="25" t="s">
        <v>873</v>
      </c>
      <c r="C9" s="29" t="s">
        <v>907</v>
      </c>
      <c r="D9" s="26">
        <v>45800</v>
      </c>
      <c r="E9" s="1"/>
      <c r="F9" s="129" t="s">
        <v>1052</v>
      </c>
      <c r="G9" s="130">
        <v>70</v>
      </c>
      <c r="H9" s="129" t="s">
        <v>1185</v>
      </c>
      <c r="I9" s="1"/>
      <c r="J9" s="1"/>
      <c r="K9" s="1"/>
      <c r="L9" s="177"/>
      <c r="M9" s="177"/>
      <c r="N9" s="1"/>
      <c r="O9" s="7"/>
      <c r="P9" s="1"/>
      <c r="Q9" s="1"/>
      <c r="R9" s="7"/>
      <c r="S9" s="1"/>
      <c r="T9" s="1"/>
      <c r="U9" s="1"/>
      <c r="V9" s="1"/>
      <c r="W9" s="1"/>
      <c r="X9" s="1"/>
      <c r="Y9" s="1"/>
      <c r="Z9" s="1"/>
      <c r="AA9" s="3"/>
      <c r="AB9" s="1"/>
      <c r="AC9" s="7">
        <f t="shared" si="0"/>
        <v>0</v>
      </c>
      <c r="AD9" s="1"/>
    </row>
    <row r="10" spans="1:30" ht="15" x14ac:dyDescent="0.35">
      <c r="A10" s="17" t="s">
        <v>71</v>
      </c>
      <c r="B10" s="25" t="s">
        <v>874</v>
      </c>
      <c r="C10" s="29" t="s">
        <v>908</v>
      </c>
      <c r="D10" s="26">
        <v>45804</v>
      </c>
      <c r="E10" s="1"/>
      <c r="F10" s="129" t="s">
        <v>1052</v>
      </c>
      <c r="G10" s="130">
        <v>100</v>
      </c>
      <c r="H10" s="129" t="s">
        <v>1184</v>
      </c>
      <c r="I10" s="1"/>
      <c r="J10" s="1"/>
      <c r="K10" s="1"/>
      <c r="L10" s="177"/>
      <c r="M10" s="177"/>
      <c r="N10" s="1"/>
      <c r="O10" s="7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  <c r="AA10" s="3"/>
      <c r="AB10" s="1"/>
      <c r="AC10" s="7">
        <f t="shared" si="0"/>
        <v>0</v>
      </c>
      <c r="AD10" s="1"/>
    </row>
    <row r="11" spans="1:30" ht="15" x14ac:dyDescent="0.35">
      <c r="A11" s="17" t="s">
        <v>72</v>
      </c>
      <c r="B11" s="25" t="s">
        <v>875</v>
      </c>
      <c r="C11" s="31" t="s">
        <v>909</v>
      </c>
      <c r="D11" s="28">
        <v>45800</v>
      </c>
      <c r="E11" s="1"/>
      <c r="F11" s="129"/>
      <c r="G11" s="129"/>
      <c r="H11" s="129"/>
      <c r="I11" s="1"/>
      <c r="J11" s="1"/>
      <c r="K11" s="1"/>
      <c r="L11" s="177"/>
      <c r="M11" s="177"/>
      <c r="N11" s="1"/>
      <c r="O11" s="7"/>
      <c r="P11" s="1"/>
      <c r="Q11" s="1"/>
      <c r="R11" s="7"/>
      <c r="S11" s="1"/>
      <c r="T11" s="1"/>
      <c r="U11" s="1"/>
      <c r="V11" s="1"/>
      <c r="W11" s="1"/>
      <c r="X11" s="1"/>
      <c r="Y11" s="1"/>
      <c r="Z11" s="1"/>
      <c r="AA11" s="3"/>
      <c r="AB11" s="1"/>
      <c r="AC11" s="7">
        <f t="shared" si="0"/>
        <v>0</v>
      </c>
      <c r="AD11" s="1"/>
    </row>
    <row r="12" spans="1:30" ht="34.5" x14ac:dyDescent="0.35">
      <c r="A12" s="17" t="s">
        <v>73</v>
      </c>
      <c r="B12" s="25" t="s">
        <v>876</v>
      </c>
      <c r="C12" s="32" t="s">
        <v>910</v>
      </c>
      <c r="D12" s="28">
        <v>45810</v>
      </c>
      <c r="E12" s="1"/>
      <c r="F12" s="129" t="s">
        <v>1183</v>
      </c>
      <c r="G12" s="129">
        <v>11000</v>
      </c>
      <c r="H12" s="129" t="s">
        <v>1174</v>
      </c>
      <c r="I12" s="1"/>
      <c r="J12" s="1"/>
      <c r="K12" s="1"/>
      <c r="L12" s="177"/>
      <c r="M12" s="177"/>
      <c r="N12" s="1"/>
      <c r="O12" s="7"/>
      <c r="P12" s="1"/>
      <c r="Q12" s="1"/>
      <c r="R12" s="7"/>
      <c r="S12" s="1"/>
      <c r="T12" s="1"/>
      <c r="U12" s="1"/>
      <c r="V12" s="1"/>
      <c r="W12" s="1"/>
      <c r="X12" s="1"/>
      <c r="Y12" s="1"/>
      <c r="Z12" s="1"/>
      <c r="AA12" s="3"/>
      <c r="AB12" s="1"/>
      <c r="AC12" s="7">
        <f t="shared" si="0"/>
        <v>0</v>
      </c>
      <c r="AD12" s="1"/>
    </row>
    <row r="13" spans="1:30" ht="23" x14ac:dyDescent="0.35">
      <c r="A13" s="17" t="s">
        <v>74</v>
      </c>
      <c r="B13" s="25" t="s">
        <v>877</v>
      </c>
      <c r="C13" s="32" t="s">
        <v>911</v>
      </c>
      <c r="D13" s="28">
        <v>45824</v>
      </c>
      <c r="E13" s="1"/>
      <c r="F13" s="129" t="s">
        <v>1181</v>
      </c>
      <c r="G13" s="129">
        <v>90</v>
      </c>
      <c r="H13" s="129" t="s">
        <v>1182</v>
      </c>
      <c r="I13" s="1"/>
      <c r="J13" s="1"/>
      <c r="K13" s="1"/>
      <c r="L13" s="177"/>
      <c r="M13" s="177"/>
      <c r="N13" s="1"/>
      <c r="O13" s="7"/>
      <c r="P13" s="1"/>
      <c r="Q13" s="1"/>
      <c r="R13" s="7"/>
      <c r="S13" s="1"/>
      <c r="T13" s="1"/>
      <c r="U13" s="1"/>
      <c r="V13" s="1"/>
      <c r="W13" s="1"/>
      <c r="X13" s="1"/>
      <c r="Y13" s="1"/>
      <c r="Z13" s="1"/>
      <c r="AA13" s="3"/>
      <c r="AB13" s="1"/>
      <c r="AC13" s="7">
        <f t="shared" si="0"/>
        <v>0</v>
      </c>
      <c r="AD13" s="1"/>
    </row>
    <row r="14" spans="1:30" ht="23" x14ac:dyDescent="0.35">
      <c r="A14" s="17" t="s">
        <v>75</v>
      </c>
      <c r="B14" s="25" t="s">
        <v>878</v>
      </c>
      <c r="C14" s="32" t="s">
        <v>912</v>
      </c>
      <c r="D14" s="28">
        <v>45824</v>
      </c>
      <c r="E14" s="1"/>
      <c r="F14" s="129" t="s">
        <v>1181</v>
      </c>
      <c r="G14" s="129">
        <v>70</v>
      </c>
      <c r="H14" s="129" t="s">
        <v>1182</v>
      </c>
      <c r="I14" s="1"/>
      <c r="J14" s="1"/>
      <c r="K14" s="1"/>
      <c r="L14" s="177"/>
      <c r="M14" s="177"/>
      <c r="N14" s="1"/>
      <c r="O14" s="7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  <c r="AA14" s="3"/>
      <c r="AB14" s="1"/>
      <c r="AC14" s="7">
        <f t="shared" si="0"/>
        <v>0</v>
      </c>
      <c r="AD14" s="1"/>
    </row>
    <row r="15" spans="1:30" ht="23" x14ac:dyDescent="0.35">
      <c r="A15" s="17" t="s">
        <v>76</v>
      </c>
      <c r="B15" s="25" t="s">
        <v>879</v>
      </c>
      <c r="C15" s="29" t="s">
        <v>913</v>
      </c>
      <c r="D15" s="26">
        <v>45846</v>
      </c>
      <c r="E15" s="1"/>
      <c r="F15" s="129" t="s">
        <v>1149</v>
      </c>
      <c r="G15" s="129">
        <v>100</v>
      </c>
      <c r="H15" s="129" t="s">
        <v>1180</v>
      </c>
      <c r="I15" s="1"/>
      <c r="J15" s="1"/>
      <c r="K15" s="1"/>
      <c r="L15" s="177"/>
      <c r="M15" s="177"/>
      <c r="N15" s="1"/>
      <c r="O15" s="7"/>
      <c r="P15" s="1"/>
      <c r="Q15" s="1"/>
      <c r="R15" s="7"/>
      <c r="S15" s="1"/>
      <c r="T15" s="1"/>
      <c r="U15" s="1"/>
      <c r="V15" s="1"/>
      <c r="W15" s="1"/>
      <c r="X15" s="1"/>
      <c r="Y15" s="1"/>
      <c r="Z15" s="1"/>
      <c r="AA15" s="3"/>
      <c r="AB15" s="1"/>
      <c r="AC15" s="7">
        <f t="shared" si="0"/>
        <v>0</v>
      </c>
      <c r="AD15" s="1"/>
    </row>
    <row r="16" spans="1:30" ht="23" x14ac:dyDescent="0.35">
      <c r="A16" s="17" t="s">
        <v>77</v>
      </c>
      <c r="B16" s="25" t="s">
        <v>880</v>
      </c>
      <c r="C16" s="29" t="s">
        <v>914</v>
      </c>
      <c r="D16" s="26">
        <v>45859</v>
      </c>
      <c r="E16" s="1"/>
      <c r="F16" s="129" t="s">
        <v>1177</v>
      </c>
      <c r="G16" s="129">
        <v>120</v>
      </c>
      <c r="H16" s="129" t="s">
        <v>1179</v>
      </c>
      <c r="I16" s="1"/>
      <c r="J16" s="1"/>
      <c r="K16" s="1"/>
      <c r="L16" s="177"/>
      <c r="M16" s="177"/>
      <c r="N16" s="1"/>
      <c r="O16" s="7"/>
      <c r="P16" s="1"/>
      <c r="Q16" s="1"/>
      <c r="R16" s="7"/>
      <c r="S16" s="1"/>
      <c r="T16" s="1"/>
      <c r="U16" s="1"/>
      <c r="V16" s="1"/>
      <c r="W16" s="1"/>
      <c r="X16" s="1"/>
      <c r="Y16" s="1"/>
      <c r="Z16" s="1"/>
      <c r="AA16" s="3"/>
      <c r="AB16" s="1"/>
      <c r="AC16" s="7">
        <f t="shared" si="0"/>
        <v>0</v>
      </c>
      <c r="AD16" s="1"/>
    </row>
    <row r="17" spans="1:30" ht="23" x14ac:dyDescent="0.35">
      <c r="A17" s="17" t="s">
        <v>78</v>
      </c>
      <c r="B17" s="25" t="s">
        <v>881</v>
      </c>
      <c r="C17" s="29" t="s">
        <v>915</v>
      </c>
      <c r="D17" s="26">
        <v>45894</v>
      </c>
      <c r="E17" s="1"/>
      <c r="F17" s="129" t="s">
        <v>1177</v>
      </c>
      <c r="G17" s="129">
        <v>10134</v>
      </c>
      <c r="H17" s="129" t="s">
        <v>1178</v>
      </c>
      <c r="I17" s="1"/>
      <c r="J17" s="1"/>
      <c r="K17" s="1"/>
      <c r="L17" s="178"/>
      <c r="M17" s="17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3"/>
      <c r="AC17" s="7">
        <f t="shared" si="0"/>
        <v>0</v>
      </c>
      <c r="AD17" s="1"/>
    </row>
    <row r="18" spans="1:30" x14ac:dyDescent="0.35">
      <c r="A18" s="17" t="s">
        <v>79</v>
      </c>
      <c r="B18" s="25" t="s">
        <v>882</v>
      </c>
      <c r="C18" s="29" t="s">
        <v>916</v>
      </c>
      <c r="D18" s="26">
        <v>45897</v>
      </c>
      <c r="E18" s="1"/>
      <c r="F18" s="129"/>
      <c r="G18" s="129"/>
      <c r="H18" s="129"/>
      <c r="I18" s="1"/>
      <c r="J18" s="1"/>
      <c r="K18" s="1"/>
      <c r="L18" s="178"/>
      <c r="M18" s="17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3"/>
      <c r="AC18" s="7">
        <f t="shared" si="0"/>
        <v>0</v>
      </c>
      <c r="AD18" s="1"/>
    </row>
    <row r="19" spans="1:30" ht="23" x14ac:dyDescent="0.35">
      <c r="A19" s="17" t="s">
        <v>854</v>
      </c>
      <c r="B19" s="25" t="s">
        <v>883</v>
      </c>
      <c r="C19" s="29" t="s">
        <v>917</v>
      </c>
      <c r="D19" s="26">
        <v>45863</v>
      </c>
      <c r="E19" s="1"/>
      <c r="F19" s="129" t="s">
        <v>1119</v>
      </c>
      <c r="G19" s="129">
        <v>48</v>
      </c>
      <c r="H19" s="129" t="s">
        <v>1175</v>
      </c>
      <c r="I19" s="1"/>
      <c r="J19" s="1"/>
      <c r="K19" s="1"/>
      <c r="L19" s="178"/>
      <c r="M19" s="17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7">
        <f t="shared" si="0"/>
        <v>0</v>
      </c>
      <c r="AD19" s="1"/>
    </row>
    <row r="20" spans="1:30" ht="23" x14ac:dyDescent="0.35">
      <c r="A20" s="17" t="s">
        <v>855</v>
      </c>
      <c r="B20" s="25" t="s">
        <v>884</v>
      </c>
      <c r="C20" s="29" t="s">
        <v>918</v>
      </c>
      <c r="D20" s="26">
        <v>45863</v>
      </c>
      <c r="E20" s="1"/>
      <c r="F20" s="129" t="s">
        <v>1173</v>
      </c>
      <c r="G20" s="129">
        <v>470</v>
      </c>
      <c r="H20" s="129" t="s">
        <v>1176</v>
      </c>
      <c r="I20" s="1"/>
      <c r="J20" s="1"/>
      <c r="K20" s="1"/>
      <c r="L20" s="178"/>
      <c r="M20" s="17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7">
        <f t="shared" si="0"/>
        <v>0</v>
      </c>
      <c r="AD20" s="1"/>
    </row>
    <row r="21" spans="1:30" x14ac:dyDescent="0.35">
      <c r="A21" s="17" t="s">
        <v>856</v>
      </c>
      <c r="B21" s="25" t="s">
        <v>885</v>
      </c>
      <c r="C21" s="29" t="s">
        <v>919</v>
      </c>
      <c r="D21" s="26">
        <v>45863</v>
      </c>
      <c r="E21" s="1"/>
      <c r="F21" s="129" t="s">
        <v>1052</v>
      </c>
      <c r="G21" s="129">
        <v>80</v>
      </c>
      <c r="H21" s="129" t="s">
        <v>1175</v>
      </c>
      <c r="I21" s="1"/>
      <c r="J21" s="1"/>
      <c r="K21" s="1"/>
      <c r="L21" s="178"/>
      <c r="M21" s="17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7">
        <f t="shared" si="0"/>
        <v>0</v>
      </c>
      <c r="AD21" s="1"/>
    </row>
    <row r="22" spans="1:30" ht="23" x14ac:dyDescent="0.35">
      <c r="A22" s="17" t="s">
        <v>857</v>
      </c>
      <c r="B22" s="25" t="s">
        <v>886</v>
      </c>
      <c r="C22" s="29" t="s">
        <v>920</v>
      </c>
      <c r="D22" s="26">
        <v>45891</v>
      </c>
      <c r="E22" s="1"/>
      <c r="F22" s="129" t="s">
        <v>1173</v>
      </c>
      <c r="G22" s="129">
        <v>202</v>
      </c>
      <c r="H22" s="129" t="s">
        <v>1174</v>
      </c>
      <c r="I22" s="1"/>
      <c r="J22" s="1"/>
      <c r="K22" s="1"/>
      <c r="L22" s="178"/>
      <c r="M22" s="17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7">
        <f t="shared" si="0"/>
        <v>0</v>
      </c>
      <c r="AD22" s="1"/>
    </row>
    <row r="23" spans="1:30" x14ac:dyDescent="0.35">
      <c r="A23" s="17" t="s">
        <v>858</v>
      </c>
      <c r="B23" s="25" t="s">
        <v>887</v>
      </c>
      <c r="C23" s="29" t="s">
        <v>921</v>
      </c>
      <c r="D23" s="26">
        <v>45908</v>
      </c>
      <c r="E23" s="1"/>
      <c r="F23" s="129" t="s">
        <v>1171</v>
      </c>
      <c r="G23" s="129">
        <v>2431</v>
      </c>
      <c r="H23" s="129" t="s">
        <v>1172</v>
      </c>
      <c r="I23" s="1"/>
      <c r="J23" s="1"/>
      <c r="K23" s="1"/>
      <c r="L23" s="178"/>
      <c r="M23" s="17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7">
        <f t="shared" si="0"/>
        <v>0</v>
      </c>
      <c r="AD23" s="1"/>
    </row>
    <row r="24" spans="1:30" ht="23" x14ac:dyDescent="0.35">
      <c r="A24" s="17" t="s">
        <v>859</v>
      </c>
      <c r="B24" s="25" t="s">
        <v>888</v>
      </c>
      <c r="C24" s="29" t="s">
        <v>922</v>
      </c>
      <c r="D24" s="26">
        <v>45924</v>
      </c>
      <c r="E24" s="1"/>
      <c r="F24" s="129" t="s">
        <v>1163</v>
      </c>
      <c r="G24" s="129">
        <v>152</v>
      </c>
      <c r="H24" s="129" t="s">
        <v>1170</v>
      </c>
      <c r="I24" s="1"/>
      <c r="J24" s="1"/>
      <c r="K24" s="1"/>
      <c r="L24" s="178"/>
      <c r="M24" s="17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7">
        <f t="shared" si="0"/>
        <v>0</v>
      </c>
      <c r="AD24" s="1"/>
    </row>
    <row r="25" spans="1:30" ht="23" x14ac:dyDescent="0.35">
      <c r="A25" s="17" t="s">
        <v>860</v>
      </c>
      <c r="B25" s="25" t="s">
        <v>889</v>
      </c>
      <c r="C25" s="29" t="s">
        <v>923</v>
      </c>
      <c r="D25" s="26">
        <v>45924</v>
      </c>
      <c r="E25" s="1"/>
      <c r="F25" s="129" t="s">
        <v>1163</v>
      </c>
      <c r="G25" s="130">
        <v>63</v>
      </c>
      <c r="H25" s="129" t="s">
        <v>1169</v>
      </c>
      <c r="I25" s="1"/>
      <c r="J25" s="1"/>
      <c r="K25" s="1"/>
      <c r="L25" s="178"/>
      <c r="M25" s="17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7">
        <f t="shared" si="0"/>
        <v>0</v>
      </c>
      <c r="AD25" s="1"/>
    </row>
    <row r="26" spans="1:30" ht="34.5" x14ac:dyDescent="0.35">
      <c r="A26" s="17" t="s">
        <v>861</v>
      </c>
      <c r="B26" s="25" t="s">
        <v>890</v>
      </c>
      <c r="C26" s="31" t="s">
        <v>924</v>
      </c>
      <c r="D26" s="28">
        <v>45938</v>
      </c>
      <c r="E26" s="1"/>
      <c r="F26" s="129" t="s">
        <v>1167</v>
      </c>
      <c r="G26" s="130">
        <v>13639</v>
      </c>
      <c r="H26" s="129" t="s">
        <v>1168</v>
      </c>
      <c r="I26" s="1"/>
      <c r="J26" s="1"/>
      <c r="K26" s="1"/>
      <c r="L26" s="178"/>
      <c r="M26" s="17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7">
        <f t="shared" si="0"/>
        <v>0</v>
      </c>
      <c r="AD26" s="1"/>
    </row>
    <row r="27" spans="1:30" ht="46" x14ac:dyDescent="0.35">
      <c r="A27" s="17" t="s">
        <v>862</v>
      </c>
      <c r="B27" s="25" t="s">
        <v>891</v>
      </c>
      <c r="C27" s="31" t="s">
        <v>925</v>
      </c>
      <c r="D27" s="28">
        <v>45938</v>
      </c>
      <c r="E27" s="1"/>
      <c r="F27" s="129" t="s">
        <v>1165</v>
      </c>
      <c r="G27" s="130">
        <v>34388</v>
      </c>
      <c r="H27" s="129" t="s">
        <v>1166</v>
      </c>
      <c r="I27" s="1"/>
      <c r="J27" s="1"/>
      <c r="K27" s="1"/>
      <c r="L27" s="178"/>
      <c r="M27" s="17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7">
        <f t="shared" si="0"/>
        <v>0</v>
      </c>
      <c r="AD27" s="1"/>
    </row>
    <row r="28" spans="1:30" ht="23" x14ac:dyDescent="0.35">
      <c r="A28" s="17" t="s">
        <v>863</v>
      </c>
      <c r="B28" s="25" t="s">
        <v>892</v>
      </c>
      <c r="C28" s="29" t="s">
        <v>926</v>
      </c>
      <c r="D28" s="26">
        <v>46037</v>
      </c>
      <c r="E28" s="1"/>
      <c r="F28" s="129" t="s">
        <v>1163</v>
      </c>
      <c r="G28" s="130">
        <v>81</v>
      </c>
      <c r="H28" s="129" t="s">
        <v>1164</v>
      </c>
      <c r="I28" s="1"/>
      <c r="J28" s="1"/>
      <c r="K28" s="1"/>
      <c r="L28" s="178"/>
      <c r="M28" s="17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7">
        <f t="shared" si="0"/>
        <v>0</v>
      </c>
      <c r="AD28" s="1"/>
    </row>
    <row r="29" spans="1:30" ht="23" x14ac:dyDescent="0.35">
      <c r="A29" s="17" t="s">
        <v>864</v>
      </c>
      <c r="B29" s="25" t="s">
        <v>893</v>
      </c>
      <c r="C29" s="29" t="s">
        <v>927</v>
      </c>
      <c r="D29" s="26">
        <v>46114</v>
      </c>
      <c r="E29" s="1"/>
      <c r="F29" s="129" t="s">
        <v>1119</v>
      </c>
      <c r="G29" s="130">
        <v>95</v>
      </c>
      <c r="H29" s="129" t="s">
        <v>1162</v>
      </c>
      <c r="I29" s="1"/>
      <c r="J29" s="1"/>
      <c r="K29" s="1"/>
      <c r="L29" s="178"/>
      <c r="M29" s="17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7">
        <f t="shared" si="0"/>
        <v>0</v>
      </c>
      <c r="AD29" s="1"/>
    </row>
    <row r="30" spans="1:30" ht="23" x14ac:dyDescent="0.35">
      <c r="A30" s="17" t="s">
        <v>865</v>
      </c>
      <c r="B30" s="25" t="s">
        <v>894</v>
      </c>
      <c r="C30" s="29" t="s">
        <v>928</v>
      </c>
      <c r="D30" s="26">
        <v>46122</v>
      </c>
      <c r="E30" s="1"/>
      <c r="F30" s="129" t="s">
        <v>1119</v>
      </c>
      <c r="G30" s="130">
        <v>80</v>
      </c>
      <c r="H30" s="129" t="s">
        <v>1161</v>
      </c>
      <c r="I30" s="1"/>
      <c r="J30" s="1"/>
      <c r="K30" s="1"/>
      <c r="L30" s="178"/>
      <c r="M30" s="17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7">
        <f t="shared" si="0"/>
        <v>0</v>
      </c>
      <c r="AD30" s="1"/>
    </row>
    <row r="31" spans="1:30" x14ac:dyDescent="0.35">
      <c r="A31" s="17" t="s">
        <v>866</v>
      </c>
      <c r="B31" s="25" t="s">
        <v>1235</v>
      </c>
      <c r="C31" s="29">
        <v>2147</v>
      </c>
      <c r="D31" s="26">
        <v>46136</v>
      </c>
      <c r="E31" s="1"/>
      <c r="F31" s="129" t="s">
        <v>1187</v>
      </c>
      <c r="G31" s="1">
        <v>2494</v>
      </c>
      <c r="H31" s="129" t="s">
        <v>1251</v>
      </c>
      <c r="I31" s="1"/>
      <c r="J31" s="1"/>
      <c r="K31" s="1"/>
      <c r="L31" s="178"/>
      <c r="M31" s="17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7">
        <f t="shared" si="0"/>
        <v>0</v>
      </c>
      <c r="AD31" s="1"/>
    </row>
    <row r="32" spans="1:30" ht="18.5" x14ac:dyDescent="0.35">
      <c r="A32" s="17" t="s">
        <v>867</v>
      </c>
      <c r="B32" s="25"/>
      <c r="C32" s="20"/>
      <c r="D32" s="26"/>
      <c r="E32" s="1"/>
      <c r="F32" s="129"/>
      <c r="G32" s="1"/>
      <c r="H32" s="129"/>
      <c r="I32" s="1"/>
      <c r="J32" s="1"/>
      <c r="K32" s="1"/>
      <c r="L32" s="178"/>
      <c r="M32" s="17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7">
        <f t="shared" si="0"/>
        <v>0</v>
      </c>
      <c r="AD32" s="1"/>
    </row>
    <row r="33" spans="1:30" ht="18.5" x14ac:dyDescent="0.35">
      <c r="A33" s="17" t="s">
        <v>868</v>
      </c>
      <c r="B33" s="20"/>
      <c r="C33" s="20"/>
      <c r="D33" s="26"/>
      <c r="E33" s="1"/>
      <c r="F33" s="1"/>
      <c r="G33" s="1"/>
      <c r="H33" s="129"/>
      <c r="I33" s="1"/>
      <c r="J33" s="1"/>
      <c r="K33" s="1"/>
      <c r="L33" s="178"/>
      <c r="M33" s="17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7">
        <f t="shared" si="0"/>
        <v>0</v>
      </c>
      <c r="AD33" s="1"/>
    </row>
    <row r="34" spans="1:30" ht="18.5" x14ac:dyDescent="0.35">
      <c r="A34" s="17" t="s">
        <v>895</v>
      </c>
      <c r="B34" s="20"/>
      <c r="C34" s="20"/>
      <c r="D34" s="26"/>
      <c r="E34" s="1"/>
      <c r="F34" s="1"/>
      <c r="G34" s="1"/>
      <c r="H34" s="1"/>
      <c r="I34" s="1"/>
      <c r="J34" s="1"/>
      <c r="K34" s="1"/>
      <c r="L34" s="178"/>
      <c r="M34" s="17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>
        <f t="shared" si="0"/>
        <v>0</v>
      </c>
      <c r="AD34" s="1"/>
    </row>
    <row r="35" spans="1:30" ht="18.5" x14ac:dyDescent="0.35">
      <c r="A35" s="17" t="s">
        <v>896</v>
      </c>
      <c r="B35" s="20"/>
      <c r="C35" s="20"/>
      <c r="D35" s="26"/>
      <c r="E35" s="1"/>
      <c r="F35" s="1"/>
      <c r="G35" s="1"/>
      <c r="H35" s="1"/>
      <c r="I35" s="1"/>
      <c r="J35" s="1"/>
      <c r="K35" s="1"/>
      <c r="L35" s="178"/>
      <c r="M35" s="17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>
        <f t="shared" si="0"/>
        <v>0</v>
      </c>
      <c r="AD35" s="1"/>
    </row>
    <row r="36" spans="1:30" ht="18.5" x14ac:dyDescent="0.35">
      <c r="A36" s="17" t="s">
        <v>897</v>
      </c>
      <c r="B36" s="20"/>
      <c r="C36" s="20"/>
      <c r="D36" s="26"/>
      <c r="E36" s="1"/>
      <c r="F36" s="1"/>
      <c r="G36" s="1"/>
      <c r="H36" s="1"/>
      <c r="I36" s="1"/>
      <c r="J36" s="1"/>
      <c r="K36" s="1"/>
      <c r="L36" s="178"/>
      <c r="M36" s="17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>
        <f t="shared" si="0"/>
        <v>0</v>
      </c>
      <c r="AD36" s="1"/>
    </row>
    <row r="37" spans="1:30" ht="18.5" x14ac:dyDescent="0.35">
      <c r="A37" s="17" t="s">
        <v>898</v>
      </c>
      <c r="B37" s="20"/>
      <c r="C37" s="20"/>
      <c r="D37" s="26"/>
      <c r="E37" s="1"/>
      <c r="F37" s="1"/>
      <c r="G37" s="1"/>
      <c r="H37" s="1"/>
      <c r="I37" s="1"/>
      <c r="J37" s="1"/>
      <c r="K37" s="1"/>
      <c r="L37" s="178"/>
      <c r="M37" s="17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>
        <f t="shared" si="0"/>
        <v>0</v>
      </c>
      <c r="AD37" s="1"/>
    </row>
    <row r="38" spans="1:30" ht="18.5" x14ac:dyDescent="0.35">
      <c r="A38" s="17" t="s">
        <v>899</v>
      </c>
      <c r="B38" s="20"/>
      <c r="C38" s="20"/>
      <c r="D38" s="26"/>
      <c r="E38" s="1"/>
      <c r="F38" s="1"/>
      <c r="G38" s="1"/>
      <c r="H38" s="1"/>
      <c r="I38" s="1"/>
      <c r="J38" s="1"/>
      <c r="K38" s="1"/>
      <c r="L38" s="178"/>
      <c r="M38" s="17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>
        <f t="shared" si="0"/>
        <v>0</v>
      </c>
      <c r="AD38" s="1"/>
    </row>
    <row r="39" spans="1:30" ht="18.5" x14ac:dyDescent="0.35">
      <c r="A39" s="17" t="s">
        <v>900</v>
      </c>
      <c r="B39" s="20"/>
      <c r="C39" s="20"/>
      <c r="D39" s="20"/>
      <c r="E39" s="1"/>
      <c r="F39" s="1"/>
      <c r="G39" s="1"/>
      <c r="H39" s="1"/>
      <c r="I39" s="1"/>
      <c r="J39" s="1"/>
      <c r="K39" s="1"/>
      <c r="L39" s="178"/>
      <c r="M39" s="17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>
        <f t="shared" si="0"/>
        <v>0</v>
      </c>
      <c r="AD39" s="1"/>
    </row>
    <row r="40" spans="1:30" x14ac:dyDescent="0.35">
      <c r="A40" s="17" t="s">
        <v>901</v>
      </c>
      <c r="F40" s="1"/>
      <c r="G40" s="1"/>
      <c r="H40" s="1"/>
      <c r="I40" s="1"/>
      <c r="J40" s="1"/>
      <c r="K40" s="1"/>
      <c r="L40" s="178"/>
      <c r="M40" s="17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>
        <f t="shared" si="0"/>
        <v>0</v>
      </c>
      <c r="AD40" s="1"/>
    </row>
    <row r="41" spans="1:30" x14ac:dyDescent="0.35">
      <c r="AC41" s="7">
        <f>+(L41+M41)-O41-R41-U41-X41-AA41</f>
        <v>0</v>
      </c>
    </row>
  </sheetData>
  <mergeCells count="18">
    <mergeCell ref="M2:M3"/>
    <mergeCell ref="AD2:AD3"/>
    <mergeCell ref="N2:P2"/>
    <mergeCell ref="Q2:S2"/>
    <mergeCell ref="T2:V2"/>
    <mergeCell ref="W2:Y2"/>
    <mergeCell ref="Z2:AB2"/>
    <mergeCell ref="AC2:AC3"/>
    <mergeCell ref="L2:L3"/>
    <mergeCell ref="A2:A3"/>
    <mergeCell ref="B2:B3"/>
    <mergeCell ref="F2:F3"/>
    <mergeCell ref="C2:E2"/>
    <mergeCell ref="G2:G3"/>
    <mergeCell ref="H2:H3"/>
    <mergeCell ref="I2:I3"/>
    <mergeCell ref="J2:J3"/>
    <mergeCell ref="K2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D49"/>
  <sheetViews>
    <sheetView zoomScale="72" zoomScaleNormal="72" workbookViewId="0">
      <selection activeCell="D17" sqref="D17"/>
    </sheetView>
  </sheetViews>
  <sheetFormatPr baseColWidth="10" defaultColWidth="8.81640625" defaultRowHeight="14.5" x14ac:dyDescent="0.35"/>
  <cols>
    <col min="2" max="2" width="38.1796875" customWidth="1"/>
    <col min="4" max="4" width="16.1796875" customWidth="1"/>
    <col min="5" max="5" width="10.453125" bestFit="1" customWidth="1"/>
    <col min="6" max="6" width="36.453125" customWidth="1"/>
    <col min="8" max="8" width="45" customWidth="1"/>
    <col min="9" max="9" width="13.453125" customWidth="1"/>
    <col min="12" max="13" width="8.81640625" style="57"/>
    <col min="14" max="14" width="10.453125" customWidth="1"/>
    <col min="16" max="16" width="12.1796875" customWidth="1"/>
    <col min="17" max="17" width="10.453125" bestFit="1" customWidth="1"/>
    <col min="19" max="19" width="12.1796875" customWidth="1"/>
  </cols>
  <sheetData>
    <row r="1" spans="1:30" x14ac:dyDescent="0.35">
      <c r="L1"/>
      <c r="M1"/>
    </row>
    <row r="2" spans="1:30" ht="14.5" customHeight="1" x14ac:dyDescent="0.35">
      <c r="A2" s="229" t="s">
        <v>0</v>
      </c>
      <c r="B2" s="229" t="s">
        <v>1044</v>
      </c>
      <c r="C2" s="230" t="s">
        <v>22</v>
      </c>
      <c r="D2" s="231"/>
      <c r="E2" s="232"/>
      <c r="F2" s="229" t="s">
        <v>2</v>
      </c>
      <c r="G2" s="229" t="s">
        <v>3</v>
      </c>
      <c r="H2" s="229" t="s">
        <v>5</v>
      </c>
      <c r="I2" s="229" t="s">
        <v>4</v>
      </c>
      <c r="J2" s="229" t="s">
        <v>6</v>
      </c>
      <c r="K2" s="229" t="s">
        <v>25</v>
      </c>
      <c r="L2" s="228" t="s">
        <v>1260</v>
      </c>
      <c r="M2" s="233" t="s">
        <v>1261</v>
      </c>
      <c r="N2" s="230" t="s">
        <v>7</v>
      </c>
      <c r="O2" s="231"/>
      <c r="P2" s="232"/>
      <c r="Q2" s="230" t="s">
        <v>8</v>
      </c>
      <c r="R2" s="231"/>
      <c r="S2" s="232"/>
      <c r="T2" s="230" t="s">
        <v>9</v>
      </c>
      <c r="U2" s="231"/>
      <c r="V2" s="232"/>
      <c r="W2" s="230" t="s">
        <v>10</v>
      </c>
      <c r="X2" s="231"/>
      <c r="Y2" s="232"/>
      <c r="Z2" s="230" t="s">
        <v>13</v>
      </c>
      <c r="AA2" s="231"/>
      <c r="AB2" s="232"/>
      <c r="AC2" s="229" t="s">
        <v>14</v>
      </c>
      <c r="AD2" s="229" t="s">
        <v>109</v>
      </c>
    </row>
    <row r="3" spans="1:30" ht="21" x14ac:dyDescent="0.35">
      <c r="A3" s="229"/>
      <c r="B3" s="229"/>
      <c r="C3" s="18" t="s">
        <v>23</v>
      </c>
      <c r="D3" s="18" t="s">
        <v>24</v>
      </c>
      <c r="E3" s="18" t="s">
        <v>1027</v>
      </c>
      <c r="F3" s="229"/>
      <c r="G3" s="229"/>
      <c r="H3" s="229"/>
      <c r="I3" s="229"/>
      <c r="J3" s="229"/>
      <c r="K3" s="229"/>
      <c r="L3" s="228"/>
      <c r="M3" s="234"/>
      <c r="N3" s="18" t="s">
        <v>1</v>
      </c>
      <c r="O3" s="18" t="s">
        <v>11</v>
      </c>
      <c r="P3" s="18" t="s">
        <v>12</v>
      </c>
      <c r="Q3" s="18" t="s">
        <v>1</v>
      </c>
      <c r="R3" s="18" t="s">
        <v>11</v>
      </c>
      <c r="S3" s="18" t="s">
        <v>12</v>
      </c>
      <c r="T3" s="18" t="s">
        <v>1</v>
      </c>
      <c r="U3" s="18" t="s">
        <v>11</v>
      </c>
      <c r="V3" s="18" t="s">
        <v>12</v>
      </c>
      <c r="W3" s="18" t="s">
        <v>1</v>
      </c>
      <c r="X3" s="18" t="s">
        <v>11</v>
      </c>
      <c r="Y3" s="18" t="s">
        <v>12</v>
      </c>
      <c r="Z3" s="18" t="s">
        <v>1</v>
      </c>
      <c r="AA3" s="18" t="s">
        <v>11</v>
      </c>
      <c r="AB3" s="18" t="s">
        <v>12</v>
      </c>
      <c r="AC3" s="229"/>
      <c r="AD3" s="229"/>
    </row>
    <row r="4" spans="1:30" x14ac:dyDescent="0.35">
      <c r="A4" s="19" t="s">
        <v>80</v>
      </c>
      <c r="B4" s="34" t="s">
        <v>929</v>
      </c>
      <c r="C4" s="39" t="s">
        <v>971</v>
      </c>
      <c r="D4" s="35">
        <v>45862</v>
      </c>
      <c r="E4" s="9"/>
      <c r="F4" s="129" t="s">
        <v>1142</v>
      </c>
      <c r="G4" s="130">
        <v>79</v>
      </c>
      <c r="H4" s="129" t="s">
        <v>1143</v>
      </c>
      <c r="I4" s="9"/>
      <c r="J4" s="9"/>
      <c r="K4" s="9"/>
      <c r="L4" s="53"/>
      <c r="M4" s="53"/>
      <c r="N4" s="9"/>
      <c r="O4" s="9"/>
      <c r="P4" s="9"/>
      <c r="Q4" s="9"/>
      <c r="R4" s="9"/>
      <c r="S4" s="9"/>
      <c r="T4" s="9"/>
      <c r="U4" s="9"/>
      <c r="V4" s="9"/>
      <c r="W4" s="6"/>
      <c r="X4" s="6"/>
      <c r="Y4" s="6"/>
      <c r="Z4" s="6"/>
      <c r="AA4" s="7"/>
      <c r="AB4" s="6"/>
      <c r="AC4" s="86">
        <f>(L4+M4)-O4-R4-U4-X4-AA4</f>
        <v>0</v>
      </c>
      <c r="AD4" s="1"/>
    </row>
    <row r="5" spans="1:30" x14ac:dyDescent="0.35">
      <c r="A5" s="19" t="s">
        <v>81</v>
      </c>
      <c r="B5" s="34" t="s">
        <v>930</v>
      </c>
      <c r="C5" s="40" t="s">
        <v>972</v>
      </c>
      <c r="D5" s="36">
        <v>45967</v>
      </c>
      <c r="E5" s="10"/>
      <c r="F5" s="129" t="s">
        <v>1144</v>
      </c>
      <c r="G5" s="130">
        <v>80</v>
      </c>
      <c r="H5" s="129" t="s">
        <v>1145</v>
      </c>
      <c r="I5" s="10"/>
      <c r="J5" s="10"/>
      <c r="K5" s="10"/>
      <c r="L5" s="54"/>
      <c r="M5" s="54"/>
      <c r="N5" s="10"/>
      <c r="O5" s="10"/>
      <c r="P5" s="10"/>
      <c r="Q5" s="10"/>
      <c r="R5" s="10"/>
      <c r="S5" s="10"/>
      <c r="T5" s="10"/>
      <c r="U5" s="10"/>
      <c r="V5" s="10"/>
      <c r="W5" s="1"/>
      <c r="X5" s="1"/>
      <c r="Y5" s="1"/>
      <c r="Z5" s="1"/>
      <c r="AA5" s="3"/>
      <c r="AB5" s="1"/>
      <c r="AC5" s="86">
        <f t="shared" ref="AC5:AC49" si="0">(L5+M5)-O5-R5-U5-X5-AA5</f>
        <v>0</v>
      </c>
      <c r="AD5" s="1"/>
    </row>
    <row r="6" spans="1:30" ht="15" x14ac:dyDescent="0.35">
      <c r="A6" s="19" t="s">
        <v>82</v>
      </c>
      <c r="B6" s="34" t="s">
        <v>931</v>
      </c>
      <c r="C6" s="39" t="s">
        <v>973</v>
      </c>
      <c r="D6" s="35">
        <v>45863</v>
      </c>
      <c r="E6" s="1"/>
      <c r="F6" s="129" t="s">
        <v>1146</v>
      </c>
      <c r="G6" s="130">
        <v>130</v>
      </c>
      <c r="H6" s="129" t="s">
        <v>1147</v>
      </c>
      <c r="I6" s="1"/>
      <c r="J6" s="1"/>
      <c r="K6" s="1"/>
      <c r="L6" s="55"/>
      <c r="M6" s="55"/>
      <c r="N6" s="1"/>
      <c r="O6" s="7"/>
      <c r="P6" s="1"/>
      <c r="Q6" s="1"/>
      <c r="R6" s="7"/>
      <c r="S6" s="1"/>
      <c r="T6" s="1"/>
      <c r="U6" s="1"/>
      <c r="V6" s="1"/>
      <c r="W6" s="1"/>
      <c r="X6" s="1"/>
      <c r="Y6" s="1"/>
      <c r="Z6" s="1"/>
      <c r="AA6" s="3"/>
      <c r="AB6" s="1"/>
      <c r="AC6" s="86">
        <f t="shared" si="0"/>
        <v>0</v>
      </c>
      <c r="AD6" s="1"/>
    </row>
    <row r="7" spans="1:30" ht="15" x14ac:dyDescent="0.35">
      <c r="A7" s="19" t="s">
        <v>83</v>
      </c>
      <c r="B7" s="34" t="s">
        <v>932</v>
      </c>
      <c r="C7" s="40" t="s">
        <v>974</v>
      </c>
      <c r="D7" s="36">
        <v>45937</v>
      </c>
      <c r="E7" s="1"/>
      <c r="F7" s="129" t="s">
        <v>1119</v>
      </c>
      <c r="G7" s="130">
        <v>68</v>
      </c>
      <c r="H7" s="129" t="s">
        <v>1148</v>
      </c>
      <c r="I7" s="1"/>
      <c r="J7" s="1"/>
      <c r="K7" s="1"/>
      <c r="L7" s="55"/>
      <c r="M7" s="55"/>
      <c r="N7" s="1"/>
      <c r="O7" s="7"/>
      <c r="P7" s="1"/>
      <c r="Q7" s="1"/>
      <c r="R7" s="7"/>
      <c r="S7" s="1"/>
      <c r="T7" s="1"/>
      <c r="U7" s="1"/>
      <c r="V7" s="1"/>
      <c r="W7" s="1"/>
      <c r="X7" s="1"/>
      <c r="Y7" s="1"/>
      <c r="Z7" s="1"/>
      <c r="AA7" s="3"/>
      <c r="AB7" s="1"/>
      <c r="AC7" s="86">
        <f t="shared" si="0"/>
        <v>0</v>
      </c>
      <c r="AD7" s="1"/>
    </row>
    <row r="8" spans="1:30" ht="15" x14ac:dyDescent="0.35">
      <c r="A8" s="19" t="s">
        <v>84</v>
      </c>
      <c r="B8" s="34" t="s">
        <v>933</v>
      </c>
      <c r="C8" s="41" t="s">
        <v>975</v>
      </c>
      <c r="D8" s="37"/>
      <c r="E8" s="1"/>
      <c r="F8" s="129" t="s">
        <v>1149</v>
      </c>
      <c r="G8" s="130">
        <v>100</v>
      </c>
      <c r="H8" s="129" t="s">
        <v>1150</v>
      </c>
      <c r="I8" s="1"/>
      <c r="J8" s="1"/>
      <c r="K8" s="1"/>
      <c r="L8" s="55"/>
      <c r="M8" s="55"/>
      <c r="N8" s="1"/>
      <c r="O8" s="7"/>
      <c r="P8" s="1"/>
      <c r="Q8" s="1"/>
      <c r="R8" s="7"/>
      <c r="S8" s="1"/>
      <c r="T8" s="1"/>
      <c r="U8" s="1"/>
      <c r="V8" s="1"/>
      <c r="W8" s="1"/>
      <c r="X8" s="1"/>
      <c r="Y8" s="1"/>
      <c r="Z8" s="1"/>
      <c r="AA8" s="3"/>
      <c r="AB8" s="1"/>
      <c r="AC8" s="86">
        <f t="shared" si="0"/>
        <v>0</v>
      </c>
      <c r="AD8" s="1"/>
    </row>
    <row r="9" spans="1:30" ht="23" x14ac:dyDescent="0.35">
      <c r="A9" s="19" t="s">
        <v>85</v>
      </c>
      <c r="B9" s="34" t="s">
        <v>934</v>
      </c>
      <c r="C9" s="42" t="s">
        <v>976</v>
      </c>
      <c r="D9" s="38"/>
      <c r="E9" s="1"/>
      <c r="F9" s="129" t="s">
        <v>1149</v>
      </c>
      <c r="G9" s="130">
        <v>130</v>
      </c>
      <c r="H9" s="129" t="s">
        <v>1151</v>
      </c>
      <c r="I9" s="1"/>
      <c r="J9" s="1"/>
      <c r="K9" s="1"/>
      <c r="L9" s="55"/>
      <c r="M9" s="55"/>
      <c r="N9" s="1"/>
      <c r="O9" s="7"/>
      <c r="P9" s="1"/>
      <c r="Q9" s="1"/>
      <c r="R9" s="7"/>
      <c r="S9" s="1"/>
      <c r="T9" s="1"/>
      <c r="U9" s="1"/>
      <c r="V9" s="1"/>
      <c r="W9" s="1"/>
      <c r="X9" s="1"/>
      <c r="Y9" s="1"/>
      <c r="Z9" s="1"/>
      <c r="AA9" s="3"/>
      <c r="AB9" s="1"/>
      <c r="AC9" s="86">
        <f t="shared" si="0"/>
        <v>0</v>
      </c>
      <c r="AD9" s="1"/>
    </row>
    <row r="10" spans="1:30" ht="23" x14ac:dyDescent="0.35">
      <c r="A10" s="19" t="s">
        <v>86</v>
      </c>
      <c r="B10" s="34" t="s">
        <v>935</v>
      </c>
      <c r="C10" s="43" t="s">
        <v>977</v>
      </c>
      <c r="D10" s="36">
        <v>45937</v>
      </c>
      <c r="E10" s="1"/>
      <c r="F10" s="129" t="s">
        <v>1149</v>
      </c>
      <c r="G10" s="130">
        <v>76</v>
      </c>
      <c r="H10" s="129" t="s">
        <v>1152</v>
      </c>
      <c r="I10" s="1"/>
      <c r="J10" s="1"/>
      <c r="K10" s="1"/>
      <c r="L10" s="55"/>
      <c r="M10" s="55"/>
      <c r="N10" s="1"/>
      <c r="O10" s="7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  <c r="AA10" s="3"/>
      <c r="AB10" s="1"/>
      <c r="AC10" s="86">
        <f t="shared" si="0"/>
        <v>0</v>
      </c>
      <c r="AD10" s="1"/>
    </row>
    <row r="11" spans="1:30" ht="23" x14ac:dyDescent="0.35">
      <c r="A11" s="19" t="s">
        <v>87</v>
      </c>
      <c r="B11" s="34" t="s">
        <v>936</v>
      </c>
      <c r="C11" s="43" t="s">
        <v>978</v>
      </c>
      <c r="D11" s="36">
        <v>45937</v>
      </c>
      <c r="E11" s="1"/>
      <c r="F11" s="129" t="s">
        <v>1149</v>
      </c>
      <c r="G11" s="130">
        <v>82</v>
      </c>
      <c r="H11" s="129" t="s">
        <v>1153</v>
      </c>
      <c r="I11" s="1"/>
      <c r="J11" s="1"/>
      <c r="K11" s="1"/>
      <c r="L11" s="55"/>
      <c r="M11" s="55"/>
      <c r="N11" s="1"/>
      <c r="O11" s="7"/>
      <c r="P11" s="1"/>
      <c r="Q11" s="1"/>
      <c r="R11" s="7"/>
      <c r="S11" s="1"/>
      <c r="T11" s="1"/>
      <c r="U11" s="1"/>
      <c r="V11" s="1"/>
      <c r="W11" s="1"/>
      <c r="X11" s="1"/>
      <c r="Y11" s="1"/>
      <c r="Z11" s="1"/>
      <c r="AA11" s="3"/>
      <c r="AB11" s="1"/>
      <c r="AC11" s="86">
        <f t="shared" si="0"/>
        <v>0</v>
      </c>
      <c r="AD11" s="1"/>
    </row>
    <row r="12" spans="1:30" ht="23" x14ac:dyDescent="0.35">
      <c r="A12" s="19" t="s">
        <v>88</v>
      </c>
      <c r="B12" s="34" t="s">
        <v>937</v>
      </c>
      <c r="C12" s="44" t="s">
        <v>979</v>
      </c>
      <c r="D12" s="35">
        <v>45981</v>
      </c>
      <c r="E12" s="1"/>
      <c r="F12" s="129" t="s">
        <v>1119</v>
      </c>
      <c r="G12" s="130">
        <v>50</v>
      </c>
      <c r="H12" s="129" t="s">
        <v>1155</v>
      </c>
      <c r="I12" s="1"/>
      <c r="J12" s="1"/>
      <c r="K12" s="1"/>
      <c r="L12" s="55"/>
      <c r="M12" s="55"/>
      <c r="N12" s="1"/>
      <c r="O12" s="7"/>
      <c r="P12" s="1"/>
      <c r="Q12" s="1"/>
      <c r="R12" s="7"/>
      <c r="S12" s="1"/>
      <c r="T12" s="1"/>
      <c r="U12" s="1"/>
      <c r="V12" s="1"/>
      <c r="W12" s="1"/>
      <c r="X12" s="1"/>
      <c r="Y12" s="1"/>
      <c r="Z12" s="1"/>
      <c r="AA12" s="3"/>
      <c r="AB12" s="1"/>
      <c r="AC12" s="86">
        <f t="shared" si="0"/>
        <v>0</v>
      </c>
      <c r="AD12" s="1"/>
    </row>
    <row r="13" spans="1:30" ht="15" x14ac:dyDescent="0.35">
      <c r="A13" s="19" t="s">
        <v>89</v>
      </c>
      <c r="B13" s="34" t="s">
        <v>1157</v>
      </c>
      <c r="C13" s="40" t="s">
        <v>980</v>
      </c>
      <c r="D13" s="36">
        <v>45981</v>
      </c>
      <c r="E13" s="1"/>
      <c r="F13" s="129" t="s">
        <v>1154</v>
      </c>
      <c r="G13" s="130">
        <v>100</v>
      </c>
      <c r="H13" s="129" t="s">
        <v>1156</v>
      </c>
      <c r="I13" s="1"/>
      <c r="J13" s="1"/>
      <c r="K13" s="1"/>
      <c r="L13" s="55"/>
      <c r="M13" s="55"/>
      <c r="N13" s="1"/>
      <c r="O13" s="7"/>
      <c r="P13" s="1"/>
      <c r="Q13" s="1"/>
      <c r="R13" s="7"/>
      <c r="S13" s="1"/>
      <c r="T13" s="1"/>
      <c r="U13" s="1"/>
      <c r="V13" s="1"/>
      <c r="W13" s="1"/>
      <c r="X13" s="1"/>
      <c r="Y13" s="1"/>
      <c r="Z13" s="1"/>
      <c r="AA13" s="3"/>
      <c r="AB13" s="1"/>
      <c r="AC13" s="86">
        <f t="shared" si="0"/>
        <v>0</v>
      </c>
      <c r="AD13" s="1"/>
    </row>
    <row r="14" spans="1:30" ht="15" x14ac:dyDescent="0.35">
      <c r="A14" s="19" t="s">
        <v>90</v>
      </c>
      <c r="B14" s="34" t="s">
        <v>938</v>
      </c>
      <c r="C14" s="40" t="s">
        <v>981</v>
      </c>
      <c r="D14" s="36">
        <v>45981</v>
      </c>
      <c r="E14" s="1"/>
      <c r="F14" s="129" t="s">
        <v>1149</v>
      </c>
      <c r="G14" s="130">
        <v>160</v>
      </c>
      <c r="H14" s="129" t="s">
        <v>1158</v>
      </c>
      <c r="I14" s="1"/>
      <c r="J14" s="1"/>
      <c r="K14" s="1"/>
      <c r="L14" s="55"/>
      <c r="M14" s="55"/>
      <c r="N14" s="1"/>
      <c r="O14" s="7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  <c r="AA14" s="3"/>
      <c r="AB14" s="1"/>
      <c r="AC14" s="86">
        <f t="shared" si="0"/>
        <v>0</v>
      </c>
      <c r="AD14" s="1"/>
    </row>
    <row r="15" spans="1:30" ht="23" x14ac:dyDescent="0.35">
      <c r="A15" s="19" t="s">
        <v>91</v>
      </c>
      <c r="B15" s="34" t="s">
        <v>939</v>
      </c>
      <c r="C15" s="40" t="s">
        <v>982</v>
      </c>
      <c r="D15" s="36">
        <v>45981</v>
      </c>
      <c r="E15" s="1"/>
      <c r="F15" s="129" t="s">
        <v>1149</v>
      </c>
      <c r="G15" s="130">
        <v>218</v>
      </c>
      <c r="H15" s="129" t="s">
        <v>1159</v>
      </c>
      <c r="I15" s="1"/>
      <c r="J15" s="1"/>
      <c r="K15" s="1"/>
      <c r="L15" s="55"/>
      <c r="M15" s="55"/>
      <c r="N15" s="1"/>
      <c r="O15" s="7"/>
      <c r="P15" s="1"/>
      <c r="Q15" s="1"/>
      <c r="R15" s="7"/>
      <c r="S15" s="1"/>
      <c r="T15" s="1"/>
      <c r="U15" s="1"/>
      <c r="V15" s="1"/>
      <c r="W15" s="1"/>
      <c r="X15" s="1"/>
      <c r="Y15" s="1"/>
      <c r="Z15" s="1"/>
      <c r="AA15" s="3"/>
      <c r="AB15" s="1"/>
      <c r="AC15" s="86">
        <f t="shared" si="0"/>
        <v>0</v>
      </c>
      <c r="AD15" s="1"/>
    </row>
    <row r="16" spans="1:30" ht="15" x14ac:dyDescent="0.35">
      <c r="A16" s="19" t="s">
        <v>92</v>
      </c>
      <c r="B16" s="34" t="s">
        <v>940</v>
      </c>
      <c r="C16" s="40" t="s">
        <v>983</v>
      </c>
      <c r="D16" s="36">
        <v>46014</v>
      </c>
      <c r="E16" s="1"/>
      <c r="F16" s="129" t="s">
        <v>1054</v>
      </c>
      <c r="G16" s="130">
        <v>70</v>
      </c>
      <c r="H16" s="129" t="s">
        <v>1160</v>
      </c>
      <c r="I16" s="1"/>
      <c r="J16" s="1"/>
      <c r="K16" s="1"/>
      <c r="L16" s="55"/>
      <c r="M16" s="55"/>
      <c r="N16" s="1"/>
      <c r="O16" s="7"/>
      <c r="P16" s="1"/>
      <c r="Q16" s="1"/>
      <c r="R16" s="7"/>
      <c r="S16" s="1"/>
      <c r="T16" s="1"/>
      <c r="U16" s="1"/>
      <c r="V16" s="1"/>
      <c r="W16" s="1"/>
      <c r="X16" s="1"/>
      <c r="Y16" s="1"/>
      <c r="Z16" s="1"/>
      <c r="AA16" s="3"/>
      <c r="AB16" s="1"/>
      <c r="AC16" s="86">
        <f t="shared" si="0"/>
        <v>0</v>
      </c>
      <c r="AD16" s="1"/>
    </row>
    <row r="17" spans="1:30" ht="23" x14ac:dyDescent="0.35">
      <c r="A17" s="19" t="s">
        <v>93</v>
      </c>
      <c r="B17" s="34" t="s">
        <v>941</v>
      </c>
      <c r="C17" s="40" t="s">
        <v>984</v>
      </c>
      <c r="D17" s="36">
        <v>46014</v>
      </c>
      <c r="E17" s="1"/>
      <c r="F17" s="129" t="s">
        <v>1140</v>
      </c>
      <c r="G17" s="130">
        <v>5000</v>
      </c>
      <c r="H17" s="129" t="s">
        <v>1141</v>
      </c>
      <c r="I17" s="1"/>
      <c r="J17" s="1"/>
      <c r="K17" s="1"/>
      <c r="L17" s="56"/>
      <c r="M17" s="5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3"/>
      <c r="AC17" s="86">
        <f t="shared" si="0"/>
        <v>0</v>
      </c>
      <c r="AD17" s="3"/>
    </row>
    <row r="18" spans="1:30" ht="23" x14ac:dyDescent="0.35">
      <c r="A18" s="19" t="s">
        <v>94</v>
      </c>
      <c r="B18" s="34" t="s">
        <v>942</v>
      </c>
      <c r="C18" s="40" t="s">
        <v>985</v>
      </c>
      <c r="D18" s="36">
        <v>46029</v>
      </c>
      <c r="E18" s="1"/>
      <c r="F18" s="129" t="s">
        <v>1138</v>
      </c>
      <c r="G18" s="130">
        <v>724</v>
      </c>
      <c r="H18" s="129" t="s">
        <v>1139</v>
      </c>
      <c r="I18" s="1"/>
      <c r="J18" s="1"/>
      <c r="K18" s="1"/>
      <c r="L18" s="56"/>
      <c r="M18" s="5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3"/>
      <c r="AC18" s="86">
        <f t="shared" si="0"/>
        <v>0</v>
      </c>
      <c r="AD18" s="3"/>
    </row>
    <row r="19" spans="1:30" ht="23" x14ac:dyDescent="0.35">
      <c r="A19" s="19" t="s">
        <v>95</v>
      </c>
      <c r="B19" s="34" t="s">
        <v>1136</v>
      </c>
      <c r="C19" s="44" t="s">
        <v>986</v>
      </c>
      <c r="D19" s="35">
        <v>46037</v>
      </c>
      <c r="E19" s="1"/>
      <c r="F19" s="129" t="s">
        <v>1123</v>
      </c>
      <c r="G19" s="130">
        <v>143</v>
      </c>
      <c r="H19" s="129" t="s">
        <v>1137</v>
      </c>
      <c r="I19" s="1"/>
      <c r="J19" s="1"/>
      <c r="K19" s="1"/>
      <c r="L19" s="56"/>
      <c r="M19" s="56"/>
      <c r="N19" s="1"/>
      <c r="O19" s="1"/>
      <c r="P19" s="1"/>
      <c r="Q19" s="1"/>
      <c r="R19" s="1"/>
      <c r="S19" s="1"/>
      <c r="T19" s="1"/>
      <c r="U19" s="1"/>
      <c r="V19" s="33"/>
      <c r="W19" s="1"/>
      <c r="X19" s="1"/>
      <c r="Y19" s="1"/>
      <c r="Z19" s="1"/>
      <c r="AA19" s="1"/>
      <c r="AB19" s="1"/>
      <c r="AC19" s="86">
        <f t="shared" si="0"/>
        <v>0</v>
      </c>
      <c r="AD19" s="1"/>
    </row>
    <row r="20" spans="1:30" ht="22" x14ac:dyDescent="0.35">
      <c r="A20" s="19" t="s">
        <v>96</v>
      </c>
      <c r="B20" s="34" t="s">
        <v>943</v>
      </c>
      <c r="C20" s="44" t="s">
        <v>987</v>
      </c>
      <c r="D20" s="35">
        <v>46049</v>
      </c>
      <c r="E20" s="1"/>
      <c r="F20" s="77" t="s">
        <v>17</v>
      </c>
      <c r="G20" s="130">
        <v>70</v>
      </c>
      <c r="H20" s="129" t="s">
        <v>1085</v>
      </c>
      <c r="I20" s="1"/>
      <c r="J20" s="1"/>
      <c r="K20" s="8"/>
      <c r="L20" s="61">
        <v>8200</v>
      </c>
      <c r="M20" s="61"/>
      <c r="N20" s="58">
        <v>46041</v>
      </c>
      <c r="O20" s="7">
        <v>4000</v>
      </c>
      <c r="P20" s="8" t="s">
        <v>19</v>
      </c>
      <c r="Q20" s="8"/>
      <c r="R20" s="8"/>
      <c r="S20" s="8"/>
      <c r="T20" s="8"/>
      <c r="U20" s="8"/>
      <c r="V20" s="62"/>
      <c r="W20" s="8"/>
      <c r="X20" s="8"/>
      <c r="Y20" s="8"/>
      <c r="Z20" s="8"/>
      <c r="AA20" s="8"/>
      <c r="AB20" s="8"/>
      <c r="AC20" s="86">
        <f t="shared" si="0"/>
        <v>4200</v>
      </c>
      <c r="AD20" s="8"/>
    </row>
    <row r="21" spans="1:30" x14ac:dyDescent="0.35">
      <c r="A21" s="19" t="s">
        <v>97</v>
      </c>
      <c r="B21" s="34" t="s">
        <v>944</v>
      </c>
      <c r="C21" s="44" t="s">
        <v>988</v>
      </c>
      <c r="D21" s="35">
        <v>46049</v>
      </c>
      <c r="E21" s="1"/>
      <c r="F21" s="129" t="s">
        <v>1123</v>
      </c>
      <c r="G21" s="8">
        <v>60</v>
      </c>
      <c r="H21" s="129" t="s">
        <v>1135</v>
      </c>
      <c r="I21" s="1"/>
      <c r="J21" s="1"/>
      <c r="K21" s="1"/>
      <c r="L21" s="56"/>
      <c r="M21" s="56"/>
      <c r="N21" s="1"/>
      <c r="O21" s="1"/>
      <c r="P21" s="1"/>
      <c r="Q21" s="1"/>
      <c r="R21" s="1"/>
      <c r="S21" s="1"/>
      <c r="T21" s="1"/>
      <c r="U21" s="1"/>
      <c r="V21" s="33"/>
      <c r="W21" s="1"/>
      <c r="X21" s="1"/>
      <c r="Y21" s="1"/>
      <c r="Z21" s="1"/>
      <c r="AA21" s="1"/>
      <c r="AB21" s="1"/>
      <c r="AC21" s="86">
        <f t="shared" si="0"/>
        <v>0</v>
      </c>
      <c r="AD21" s="1"/>
    </row>
    <row r="22" spans="1:30" x14ac:dyDescent="0.35">
      <c r="A22" s="19" t="s">
        <v>98</v>
      </c>
      <c r="B22" s="34" t="s">
        <v>1133</v>
      </c>
      <c r="C22" s="44" t="s">
        <v>989</v>
      </c>
      <c r="D22" s="35">
        <v>46049</v>
      </c>
      <c r="E22" s="1"/>
      <c r="F22" s="129" t="s">
        <v>1123</v>
      </c>
      <c r="G22" s="8">
        <v>200</v>
      </c>
      <c r="H22" s="129" t="s">
        <v>1134</v>
      </c>
      <c r="I22" s="1"/>
      <c r="J22" s="1"/>
      <c r="K22" s="1"/>
      <c r="L22" s="56"/>
      <c r="M22" s="56"/>
      <c r="N22" s="1"/>
      <c r="O22" s="1"/>
      <c r="P22" s="1"/>
      <c r="Q22" s="1"/>
      <c r="R22" s="1"/>
      <c r="S22" s="1"/>
      <c r="T22" s="1"/>
      <c r="U22" s="1"/>
      <c r="V22" s="33"/>
      <c r="W22" s="1"/>
      <c r="X22" s="1"/>
      <c r="Y22" s="1"/>
      <c r="Z22" s="1"/>
      <c r="AA22" s="1"/>
      <c r="AB22" s="1"/>
      <c r="AC22" s="86">
        <f t="shared" si="0"/>
        <v>0</v>
      </c>
      <c r="AD22" s="1"/>
    </row>
    <row r="23" spans="1:30" x14ac:dyDescent="0.35">
      <c r="A23" s="19" t="s">
        <v>99</v>
      </c>
      <c r="B23" s="34" t="s">
        <v>945</v>
      </c>
      <c r="C23" s="40" t="s">
        <v>990</v>
      </c>
      <c r="D23" s="36">
        <v>46122</v>
      </c>
      <c r="E23" s="36">
        <v>46195</v>
      </c>
      <c r="F23" s="129" t="s">
        <v>1105</v>
      </c>
      <c r="G23" s="8">
        <v>70</v>
      </c>
      <c r="H23" s="129" t="s">
        <v>1132</v>
      </c>
      <c r="I23" s="1"/>
      <c r="J23" s="1"/>
      <c r="K23" s="1"/>
      <c r="L23" s="56"/>
      <c r="M23" s="56"/>
      <c r="N23" s="1"/>
      <c r="O23" s="1"/>
      <c r="P23" s="1"/>
      <c r="Q23" s="1"/>
      <c r="R23" s="1"/>
      <c r="S23" s="1"/>
      <c r="T23" s="1"/>
      <c r="U23" s="1"/>
      <c r="V23" s="33"/>
      <c r="W23" s="1"/>
      <c r="X23" s="1"/>
      <c r="Y23" s="1"/>
      <c r="Z23" s="1"/>
      <c r="AA23" s="1"/>
      <c r="AB23" s="1"/>
      <c r="AC23" s="86">
        <f t="shared" si="0"/>
        <v>0</v>
      </c>
      <c r="AD23" s="1"/>
    </row>
    <row r="24" spans="1:30" x14ac:dyDescent="0.35">
      <c r="A24" s="201" t="s">
        <v>100</v>
      </c>
      <c r="B24" s="202" t="s">
        <v>946</v>
      </c>
      <c r="C24" s="203" t="s">
        <v>991</v>
      </c>
      <c r="D24" s="204">
        <v>46114</v>
      </c>
      <c r="E24" s="205"/>
      <c r="F24" s="206" t="s">
        <v>1105</v>
      </c>
      <c r="G24" s="144">
        <v>70</v>
      </c>
      <c r="H24" s="206" t="s">
        <v>1132</v>
      </c>
      <c r="I24" s="205"/>
      <c r="J24" s="205"/>
      <c r="K24" s="205"/>
      <c r="L24" s="125">
        <v>5000</v>
      </c>
      <c r="M24" s="205"/>
      <c r="N24" s="205"/>
      <c r="O24" s="82">
        <v>2500</v>
      </c>
      <c r="P24" s="205"/>
      <c r="Q24" s="147">
        <v>46198</v>
      </c>
      <c r="R24" s="82">
        <v>2500</v>
      </c>
      <c r="S24" s="144" t="s">
        <v>19</v>
      </c>
      <c r="T24" s="205"/>
      <c r="U24" s="205"/>
      <c r="V24" s="207"/>
      <c r="W24" s="205"/>
      <c r="X24" s="205"/>
      <c r="Y24" s="205"/>
      <c r="Z24" s="205"/>
      <c r="AA24" s="205"/>
      <c r="AB24" s="205"/>
      <c r="AC24" s="82">
        <f t="shared" si="0"/>
        <v>0</v>
      </c>
      <c r="AD24" s="1"/>
    </row>
    <row r="25" spans="1:30" x14ac:dyDescent="0.35">
      <c r="A25" s="19" t="s">
        <v>101</v>
      </c>
      <c r="B25" s="63" t="s">
        <v>947</v>
      </c>
      <c r="C25" s="64" t="s">
        <v>992</v>
      </c>
      <c r="D25" s="65">
        <v>46114</v>
      </c>
      <c r="E25" s="1"/>
      <c r="F25" s="129"/>
      <c r="G25" s="8"/>
      <c r="H25" s="129"/>
      <c r="I25" s="1"/>
      <c r="J25" s="1"/>
      <c r="K25" s="1"/>
      <c r="L25" s="61"/>
      <c r="M25" s="5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86">
        <f t="shared" si="0"/>
        <v>0</v>
      </c>
      <c r="AD25" s="52"/>
    </row>
    <row r="26" spans="1:30" ht="23" x14ac:dyDescent="0.35">
      <c r="A26" s="19" t="s">
        <v>102</v>
      </c>
      <c r="B26" s="34" t="s">
        <v>948</v>
      </c>
      <c r="C26" s="44" t="s">
        <v>993</v>
      </c>
      <c r="D26" s="35">
        <v>46122</v>
      </c>
      <c r="E26" s="1"/>
      <c r="F26" s="129" t="s">
        <v>1130</v>
      </c>
      <c r="G26" s="8">
        <v>11500</v>
      </c>
      <c r="H26" s="129" t="s">
        <v>1131</v>
      </c>
      <c r="I26" s="1"/>
      <c r="J26" s="1"/>
      <c r="K26" s="1"/>
      <c r="L26" s="61"/>
      <c r="M26" s="5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86">
        <f t="shared" si="0"/>
        <v>0</v>
      </c>
      <c r="AD26" s="1"/>
    </row>
    <row r="27" spans="1:30" x14ac:dyDescent="0.35">
      <c r="A27" s="19" t="s">
        <v>103</v>
      </c>
      <c r="B27" s="34" t="s">
        <v>949</v>
      </c>
      <c r="C27" s="44" t="s">
        <v>994</v>
      </c>
      <c r="D27" s="35">
        <v>46122</v>
      </c>
      <c r="E27" s="1"/>
      <c r="F27" s="129" t="s">
        <v>1123</v>
      </c>
      <c r="G27" s="8">
        <v>104</v>
      </c>
      <c r="H27" s="129" t="s">
        <v>1129</v>
      </c>
      <c r="I27" s="1"/>
      <c r="J27" s="1"/>
      <c r="K27" s="1"/>
      <c r="L27" s="61"/>
      <c r="M27" s="56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86">
        <f t="shared" si="0"/>
        <v>0</v>
      </c>
      <c r="AD27" s="1"/>
    </row>
    <row r="28" spans="1:30" ht="23" x14ac:dyDescent="0.35">
      <c r="A28" s="19" t="s">
        <v>104</v>
      </c>
      <c r="B28" s="34" t="s">
        <v>950</v>
      </c>
      <c r="C28" s="44" t="s">
        <v>995</v>
      </c>
      <c r="D28" s="35">
        <v>46122</v>
      </c>
      <c r="E28" s="1"/>
      <c r="F28" s="129" t="s">
        <v>1123</v>
      </c>
      <c r="G28" s="8">
        <v>102</v>
      </c>
      <c r="H28" s="129" t="s">
        <v>1128</v>
      </c>
      <c r="I28" s="1"/>
      <c r="J28" s="1"/>
      <c r="K28" s="1"/>
      <c r="L28" s="61"/>
      <c r="M28" s="5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86">
        <f t="shared" si="0"/>
        <v>0</v>
      </c>
      <c r="AD28" s="1"/>
    </row>
    <row r="29" spans="1:30" x14ac:dyDescent="0.35">
      <c r="A29" s="19" t="s">
        <v>105</v>
      </c>
      <c r="B29" s="34" t="s">
        <v>951</v>
      </c>
      <c r="C29" s="44" t="s">
        <v>996</v>
      </c>
      <c r="D29" s="35">
        <v>46122</v>
      </c>
      <c r="E29" s="1"/>
      <c r="F29" s="129" t="s">
        <v>1105</v>
      </c>
      <c r="G29" s="8">
        <v>70</v>
      </c>
      <c r="H29" s="129" t="s">
        <v>1127</v>
      </c>
      <c r="I29" s="1"/>
      <c r="J29" s="1"/>
      <c r="K29" s="1"/>
      <c r="L29" s="56"/>
      <c r="M29" s="56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86">
        <f t="shared" si="0"/>
        <v>0</v>
      </c>
      <c r="AD29" s="1"/>
    </row>
    <row r="30" spans="1:30" ht="23" x14ac:dyDescent="0.35">
      <c r="A30" s="19" t="s">
        <v>106</v>
      </c>
      <c r="B30" s="34" t="s">
        <v>952</v>
      </c>
      <c r="C30" s="44" t="s">
        <v>997</v>
      </c>
      <c r="D30" s="35">
        <v>46122</v>
      </c>
      <c r="E30" s="1"/>
      <c r="F30" s="129" t="s">
        <v>1123</v>
      </c>
      <c r="G30" s="8">
        <v>138</v>
      </c>
      <c r="H30" s="129" t="s">
        <v>1126</v>
      </c>
      <c r="I30" s="1"/>
      <c r="J30" s="1"/>
      <c r="K30" s="1"/>
      <c r="L30" s="56"/>
      <c r="M30" s="5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86">
        <f t="shared" si="0"/>
        <v>0</v>
      </c>
      <c r="AD30" s="1"/>
    </row>
    <row r="31" spans="1:30" x14ac:dyDescent="0.35">
      <c r="A31" s="19" t="s">
        <v>107</v>
      </c>
      <c r="B31" s="34" t="s">
        <v>953</v>
      </c>
      <c r="C31" s="44" t="s">
        <v>998</v>
      </c>
      <c r="D31" s="35">
        <v>46122</v>
      </c>
      <c r="E31" s="1"/>
      <c r="F31" s="129" t="s">
        <v>1123</v>
      </c>
      <c r="G31" s="8">
        <v>85</v>
      </c>
      <c r="H31" s="129" t="s">
        <v>1125</v>
      </c>
      <c r="I31" s="1"/>
      <c r="J31" s="1"/>
      <c r="K31" s="1"/>
      <c r="L31" s="56"/>
      <c r="M31" s="56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86">
        <f t="shared" si="0"/>
        <v>0</v>
      </c>
      <c r="AD31" s="1"/>
    </row>
    <row r="32" spans="1:30" x14ac:dyDescent="0.35">
      <c r="A32" s="19" t="s">
        <v>108</v>
      </c>
      <c r="B32" s="34" t="s">
        <v>954</v>
      </c>
      <c r="C32" s="44" t="s">
        <v>999</v>
      </c>
      <c r="D32" s="35">
        <v>46122</v>
      </c>
      <c r="E32" s="1"/>
      <c r="F32" s="129" t="s">
        <v>1123</v>
      </c>
      <c r="G32" s="8">
        <v>84</v>
      </c>
      <c r="H32" s="129" t="s">
        <v>1124</v>
      </c>
      <c r="I32" s="1"/>
      <c r="J32" s="1"/>
      <c r="K32" s="1"/>
      <c r="L32" s="56"/>
      <c r="M32" s="56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86">
        <f t="shared" si="0"/>
        <v>0</v>
      </c>
      <c r="AD32" s="1"/>
    </row>
    <row r="33" spans="1:30" ht="23" x14ac:dyDescent="0.35">
      <c r="A33" s="19" t="s">
        <v>958</v>
      </c>
      <c r="B33" s="34" t="s">
        <v>955</v>
      </c>
      <c r="C33" s="44" t="s">
        <v>1000</v>
      </c>
      <c r="D33" s="35">
        <v>46122</v>
      </c>
      <c r="E33" s="1"/>
      <c r="F33" s="129" t="s">
        <v>1121</v>
      </c>
      <c r="G33" s="8">
        <v>80</v>
      </c>
      <c r="H33" s="129" t="s">
        <v>1122</v>
      </c>
      <c r="I33" s="1"/>
      <c r="J33" s="1"/>
      <c r="K33" s="1"/>
      <c r="L33" s="56"/>
      <c r="M33" s="56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86">
        <f t="shared" si="0"/>
        <v>0</v>
      </c>
      <c r="AD33" s="1"/>
    </row>
    <row r="34" spans="1:30" x14ac:dyDescent="0.35">
      <c r="A34" s="19" t="s">
        <v>959</v>
      </c>
      <c r="B34" s="34" t="s">
        <v>956</v>
      </c>
      <c r="C34" s="44" t="s">
        <v>1001</v>
      </c>
      <c r="D34" s="35">
        <v>46122</v>
      </c>
      <c r="E34" s="1"/>
      <c r="F34" s="129" t="s">
        <v>1119</v>
      </c>
      <c r="G34" s="8">
        <v>70</v>
      </c>
      <c r="H34" s="129" t="s">
        <v>1120</v>
      </c>
      <c r="I34" s="1"/>
      <c r="J34" s="1"/>
      <c r="K34" s="1"/>
      <c r="L34" s="56"/>
      <c r="M34" s="56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86">
        <f t="shared" si="0"/>
        <v>0</v>
      </c>
      <c r="AD34" s="1"/>
    </row>
    <row r="35" spans="1:30" x14ac:dyDescent="0.35">
      <c r="A35" s="19" t="s">
        <v>960</v>
      </c>
      <c r="B35" s="34" t="s">
        <v>957</v>
      </c>
      <c r="C35" s="44"/>
      <c r="D35" s="35"/>
      <c r="E35" s="1"/>
      <c r="F35" s="129"/>
      <c r="G35" s="8"/>
      <c r="H35" s="129"/>
      <c r="I35" s="1"/>
      <c r="J35" s="1"/>
      <c r="K35" s="1"/>
      <c r="L35" s="56"/>
      <c r="M35" s="56"/>
      <c r="N35" s="1"/>
      <c r="O35" s="1"/>
      <c r="P35" s="1"/>
      <c r="Q35" s="1"/>
      <c r="R35" s="7"/>
      <c r="S35" s="1"/>
      <c r="T35" s="1"/>
      <c r="U35" s="1"/>
      <c r="V35" s="1"/>
      <c r="W35" s="1"/>
      <c r="X35" s="1"/>
      <c r="Y35" s="1"/>
      <c r="Z35" s="1"/>
      <c r="AA35" s="1"/>
      <c r="AB35" s="1"/>
      <c r="AC35" s="86">
        <f t="shared" si="0"/>
        <v>0</v>
      </c>
      <c r="AD35" s="1"/>
    </row>
    <row r="36" spans="1:30" ht="25" customHeight="1" x14ac:dyDescent="0.35">
      <c r="A36" s="19" t="s">
        <v>961</v>
      </c>
      <c r="B36" s="34" t="s">
        <v>1039</v>
      </c>
      <c r="C36" s="44"/>
      <c r="D36" s="35"/>
      <c r="E36" s="1"/>
      <c r="F36" s="129" t="s">
        <v>1290</v>
      </c>
      <c r="G36" s="8"/>
      <c r="H36" s="129"/>
      <c r="I36" s="83" t="s">
        <v>1046</v>
      </c>
      <c r="J36" s="1"/>
      <c r="K36" s="1"/>
      <c r="L36" s="187">
        <v>14500</v>
      </c>
      <c r="M36" s="56"/>
      <c r="N36" s="58">
        <v>46133</v>
      </c>
      <c r="O36" s="7">
        <v>4500</v>
      </c>
      <c r="P36" s="8" t="s">
        <v>1029</v>
      </c>
      <c r="Q36" s="58">
        <v>46156</v>
      </c>
      <c r="R36" s="7">
        <v>4000</v>
      </c>
      <c r="S36" s="58" t="s">
        <v>1029</v>
      </c>
      <c r="T36" s="1"/>
      <c r="U36" s="1"/>
      <c r="V36" s="1"/>
      <c r="W36" s="1"/>
      <c r="X36" s="1"/>
      <c r="Y36" s="1"/>
      <c r="Z36" s="1"/>
      <c r="AA36" s="1"/>
      <c r="AB36" s="1"/>
      <c r="AC36" s="86">
        <f>(L36+M36)-O36-R36-U36-X36-AA36</f>
        <v>6000</v>
      </c>
      <c r="AD36" s="1"/>
    </row>
    <row r="37" spans="1:30" ht="23" x14ac:dyDescent="0.35">
      <c r="A37" s="19" t="s">
        <v>962</v>
      </c>
      <c r="B37" s="34" t="s">
        <v>1236</v>
      </c>
      <c r="C37" s="44">
        <v>2151</v>
      </c>
      <c r="D37" s="35">
        <v>46136</v>
      </c>
      <c r="E37" s="1"/>
      <c r="F37" s="129" t="s">
        <v>1119</v>
      </c>
      <c r="G37" s="8">
        <v>87</v>
      </c>
      <c r="H37" s="129" t="s">
        <v>1252</v>
      </c>
      <c r="I37" s="1"/>
      <c r="J37" s="1"/>
      <c r="K37" s="1"/>
      <c r="L37" s="56"/>
      <c r="M37" s="56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86">
        <f t="shared" si="0"/>
        <v>0</v>
      </c>
      <c r="AD37" s="1"/>
    </row>
    <row r="38" spans="1:30" ht="23" x14ac:dyDescent="0.35">
      <c r="A38" s="84" t="s">
        <v>963</v>
      </c>
      <c r="B38" s="34" t="s">
        <v>1237</v>
      </c>
      <c r="C38" s="44">
        <v>2146</v>
      </c>
      <c r="D38" s="35">
        <v>46136</v>
      </c>
      <c r="E38" s="1"/>
      <c r="F38" s="129" t="s">
        <v>1119</v>
      </c>
      <c r="G38" s="8">
        <v>60</v>
      </c>
      <c r="H38" s="129" t="s">
        <v>1253</v>
      </c>
      <c r="I38" s="1"/>
      <c r="J38" s="1"/>
      <c r="K38" s="1"/>
      <c r="L38" s="56"/>
      <c r="M38" s="56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86">
        <f t="shared" si="0"/>
        <v>0</v>
      </c>
      <c r="AD38" s="1"/>
    </row>
    <row r="39" spans="1:30" x14ac:dyDescent="0.35">
      <c r="A39" s="84" t="s">
        <v>964</v>
      </c>
      <c r="B39" s="34" t="s">
        <v>1271</v>
      </c>
      <c r="C39" s="44">
        <v>3387</v>
      </c>
      <c r="D39" s="35">
        <v>46191</v>
      </c>
      <c r="E39" s="1"/>
      <c r="F39" s="129" t="s">
        <v>1163</v>
      </c>
      <c r="G39" s="8">
        <v>70</v>
      </c>
      <c r="H39" s="129" t="s">
        <v>1272</v>
      </c>
      <c r="I39" s="1"/>
      <c r="J39" s="1"/>
      <c r="K39" s="1"/>
      <c r="L39" s="56"/>
      <c r="M39" s="56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86">
        <f t="shared" si="0"/>
        <v>0</v>
      </c>
      <c r="AD39" s="1"/>
    </row>
    <row r="40" spans="1:30" ht="34.5" x14ac:dyDescent="0.35">
      <c r="A40" s="84" t="s">
        <v>965</v>
      </c>
      <c r="B40" s="34" t="s">
        <v>1303</v>
      </c>
      <c r="C40" s="44"/>
      <c r="D40" s="35"/>
      <c r="E40" s="1"/>
      <c r="F40" s="129" t="s">
        <v>1305</v>
      </c>
      <c r="G40" s="8">
        <v>70</v>
      </c>
      <c r="H40" s="129" t="s">
        <v>1304</v>
      </c>
      <c r="I40" s="1"/>
      <c r="J40" s="1"/>
      <c r="K40" s="1"/>
      <c r="L40" s="187">
        <f>5000+1200</f>
        <v>6200</v>
      </c>
      <c r="M40" s="187">
        <v>2500</v>
      </c>
      <c r="N40" s="58">
        <v>46188</v>
      </c>
      <c r="O40" s="7">
        <v>1500</v>
      </c>
      <c r="P40" s="8" t="s">
        <v>19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86">
        <f t="shared" si="0"/>
        <v>7200</v>
      </c>
      <c r="AD40" s="1"/>
    </row>
    <row r="41" spans="1:30" x14ac:dyDescent="0.35">
      <c r="A41" s="84" t="s">
        <v>966</v>
      </c>
      <c r="B41" s="34" t="s">
        <v>1314</v>
      </c>
      <c r="C41" s="44">
        <v>3511</v>
      </c>
      <c r="D41" s="35">
        <v>46191</v>
      </c>
      <c r="E41" s="1"/>
      <c r="F41" s="129" t="s">
        <v>1163</v>
      </c>
      <c r="G41" s="1"/>
      <c r="H41" s="129"/>
      <c r="I41" s="1"/>
      <c r="J41" s="1"/>
      <c r="K41" s="1"/>
      <c r="L41" s="56"/>
      <c r="M41" s="56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86">
        <f t="shared" si="0"/>
        <v>0</v>
      </c>
      <c r="AD41" s="1"/>
    </row>
    <row r="42" spans="1:30" x14ac:dyDescent="0.35">
      <c r="A42" s="84" t="s">
        <v>967</v>
      </c>
      <c r="B42" s="34" t="s">
        <v>1316</v>
      </c>
      <c r="C42" s="44">
        <v>3390</v>
      </c>
      <c r="D42" s="35">
        <v>46191</v>
      </c>
      <c r="E42" s="1"/>
      <c r="F42" s="129"/>
      <c r="G42" s="1"/>
      <c r="H42" s="129"/>
      <c r="I42" s="1"/>
      <c r="J42" s="1"/>
      <c r="K42" s="1"/>
      <c r="L42" s="56"/>
      <c r="M42" s="56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86">
        <f t="shared" si="0"/>
        <v>0</v>
      </c>
      <c r="AD42" s="1"/>
    </row>
    <row r="43" spans="1:30" x14ac:dyDescent="0.35">
      <c r="A43" s="84" t="s">
        <v>968</v>
      </c>
      <c r="B43" s="34"/>
      <c r="C43" s="44"/>
      <c r="D43" s="35"/>
      <c r="E43" s="1"/>
      <c r="F43" s="129"/>
      <c r="G43" s="1"/>
      <c r="H43" s="1"/>
      <c r="I43" s="1"/>
      <c r="J43" s="1"/>
      <c r="K43" s="1"/>
      <c r="L43" s="56"/>
      <c r="M43" s="56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86">
        <f t="shared" si="0"/>
        <v>0</v>
      </c>
      <c r="AD43" s="1"/>
    </row>
    <row r="44" spans="1:30" x14ac:dyDescent="0.35">
      <c r="A44" s="84" t="s">
        <v>969</v>
      </c>
      <c r="B44" s="34"/>
      <c r="C44" s="44"/>
      <c r="D44" s="35"/>
      <c r="E44" s="1"/>
      <c r="F44" s="129"/>
      <c r="G44" s="1"/>
      <c r="H44" s="1"/>
      <c r="I44" s="1"/>
      <c r="J44" s="1"/>
      <c r="K44" s="1"/>
      <c r="L44" s="56"/>
      <c r="M44" s="56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86">
        <f t="shared" si="0"/>
        <v>0</v>
      </c>
      <c r="AD44" s="1"/>
    </row>
    <row r="45" spans="1:30" x14ac:dyDescent="0.35">
      <c r="A45" s="84" t="s">
        <v>970</v>
      </c>
      <c r="B45" s="34"/>
      <c r="C45" s="44"/>
      <c r="D45" s="35"/>
      <c r="E45" s="1"/>
      <c r="F45" s="129"/>
      <c r="G45" s="1"/>
      <c r="H45" s="1"/>
      <c r="I45" s="1"/>
      <c r="J45" s="1"/>
      <c r="K45" s="1"/>
      <c r="L45" s="56"/>
      <c r="M45" s="56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86">
        <f t="shared" si="0"/>
        <v>0</v>
      </c>
      <c r="AD45" s="1"/>
    </row>
    <row r="46" spans="1:30" x14ac:dyDescent="0.35">
      <c r="A46" s="84" t="s">
        <v>1047</v>
      </c>
      <c r="B46" s="34"/>
      <c r="C46" s="44"/>
      <c r="D46" s="35"/>
      <c r="E46" s="1"/>
      <c r="F46" s="1"/>
      <c r="G46" s="1"/>
      <c r="H46" s="1"/>
      <c r="I46" s="1"/>
      <c r="J46" s="1"/>
      <c r="K46" s="1"/>
      <c r="L46" s="56"/>
      <c r="M46" s="56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86">
        <f t="shared" si="0"/>
        <v>0</v>
      </c>
      <c r="AD46" s="1"/>
    </row>
    <row r="47" spans="1:30" x14ac:dyDescent="0.35">
      <c r="A47" s="84" t="s">
        <v>1048</v>
      </c>
      <c r="B47" s="34"/>
      <c r="C47" s="44"/>
      <c r="D47" s="35"/>
      <c r="E47" s="1"/>
      <c r="F47" s="1"/>
      <c r="G47" s="1"/>
      <c r="H47" s="1"/>
      <c r="I47" s="1"/>
      <c r="J47" s="1"/>
      <c r="K47" s="1"/>
      <c r="L47" s="56"/>
      <c r="M47" s="5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86">
        <f t="shared" si="0"/>
        <v>0</v>
      </c>
      <c r="AD47" s="1"/>
    </row>
    <row r="48" spans="1:30" x14ac:dyDescent="0.35">
      <c r="A48" s="1"/>
      <c r="B48" s="1"/>
      <c r="C48" s="44"/>
      <c r="D48" s="35"/>
      <c r="E48" s="1"/>
      <c r="F48" s="1"/>
      <c r="G48" s="1"/>
      <c r="H48" s="1"/>
      <c r="I48" s="1"/>
      <c r="J48" s="1"/>
      <c r="K48" s="1"/>
      <c r="L48" s="56"/>
      <c r="M48" s="5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86">
        <f t="shared" si="0"/>
        <v>0</v>
      </c>
      <c r="AD48" s="1"/>
    </row>
    <row r="49" spans="1:3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56"/>
      <c r="M49" s="5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86">
        <f t="shared" si="0"/>
        <v>0</v>
      </c>
      <c r="AD49" s="1"/>
    </row>
  </sheetData>
  <mergeCells count="18">
    <mergeCell ref="M2:M3"/>
    <mergeCell ref="AD2:AD3"/>
    <mergeCell ref="N2:P2"/>
    <mergeCell ref="Q2:S2"/>
    <mergeCell ref="T2:V2"/>
    <mergeCell ref="W2:Y2"/>
    <mergeCell ref="Z2:AB2"/>
    <mergeCell ref="AC2:AC3"/>
    <mergeCell ref="L2:L3"/>
    <mergeCell ref="A2:A3"/>
    <mergeCell ref="B2:B3"/>
    <mergeCell ref="F2:F3"/>
    <mergeCell ref="C2:E2"/>
    <mergeCell ref="G2:G3"/>
    <mergeCell ref="H2:H3"/>
    <mergeCell ref="I2:I3"/>
    <mergeCell ref="J2:J3"/>
    <mergeCell ref="K2:K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EEEDE"/>
  </sheetPr>
  <dimension ref="A1:AD18"/>
  <sheetViews>
    <sheetView workbookViewId="0">
      <selection activeCell="E18" sqref="E18"/>
    </sheetView>
  </sheetViews>
  <sheetFormatPr baseColWidth="10" defaultColWidth="8.81640625" defaultRowHeight="14.5" x14ac:dyDescent="0.35"/>
  <cols>
    <col min="2" max="2" width="29.81640625" customWidth="1"/>
    <col min="4" max="4" width="19" customWidth="1"/>
    <col min="5" max="5" width="10.453125" bestFit="1" customWidth="1"/>
    <col min="6" max="6" width="40.54296875" customWidth="1"/>
    <col min="8" max="8" width="22.1796875" customWidth="1"/>
    <col min="11" max="11" width="10.453125" bestFit="1" customWidth="1"/>
    <col min="12" max="13" width="8.81640625" style="57"/>
    <col min="14" max="14" width="10.453125" customWidth="1"/>
    <col min="17" max="17" width="10.453125" customWidth="1"/>
    <col min="29" max="29" width="11.453125" customWidth="1"/>
  </cols>
  <sheetData>
    <row r="1" spans="1:30" x14ac:dyDescent="0.35">
      <c r="L1"/>
      <c r="M1"/>
    </row>
    <row r="2" spans="1:30" ht="14.5" customHeight="1" x14ac:dyDescent="0.35">
      <c r="A2" s="228" t="s">
        <v>0</v>
      </c>
      <c r="B2" s="228" t="s">
        <v>1044</v>
      </c>
      <c r="C2" s="235" t="s">
        <v>22</v>
      </c>
      <c r="D2" s="236"/>
      <c r="E2" s="237"/>
      <c r="F2" s="228" t="s">
        <v>2</v>
      </c>
      <c r="G2" s="228" t="s">
        <v>3</v>
      </c>
      <c r="H2" s="228" t="s">
        <v>5</v>
      </c>
      <c r="I2" s="228" t="s">
        <v>4</v>
      </c>
      <c r="J2" s="228" t="s">
        <v>6</v>
      </c>
      <c r="K2" s="228" t="s">
        <v>25</v>
      </c>
      <c r="L2" s="228" t="s">
        <v>1260</v>
      </c>
      <c r="M2" s="233" t="s">
        <v>1261</v>
      </c>
      <c r="N2" s="235" t="s">
        <v>7</v>
      </c>
      <c r="O2" s="236"/>
      <c r="P2" s="237"/>
      <c r="Q2" s="235" t="s">
        <v>8</v>
      </c>
      <c r="R2" s="236"/>
      <c r="S2" s="237"/>
      <c r="T2" s="235" t="s">
        <v>9</v>
      </c>
      <c r="U2" s="236"/>
      <c r="V2" s="237"/>
      <c r="W2" s="235" t="s">
        <v>10</v>
      </c>
      <c r="X2" s="236"/>
      <c r="Y2" s="237"/>
      <c r="Z2" s="235" t="s">
        <v>13</v>
      </c>
      <c r="AA2" s="236"/>
      <c r="AB2" s="237"/>
      <c r="AC2" s="228" t="s">
        <v>14</v>
      </c>
      <c r="AD2" s="215"/>
    </row>
    <row r="3" spans="1:30" ht="21" x14ac:dyDescent="0.35">
      <c r="A3" s="228"/>
      <c r="B3" s="228"/>
      <c r="C3" s="45" t="s">
        <v>23</v>
      </c>
      <c r="D3" s="45" t="s">
        <v>24</v>
      </c>
      <c r="E3" s="45" t="s">
        <v>1026</v>
      </c>
      <c r="F3" s="228"/>
      <c r="G3" s="228"/>
      <c r="H3" s="228"/>
      <c r="I3" s="228"/>
      <c r="J3" s="228"/>
      <c r="K3" s="228"/>
      <c r="L3" s="228"/>
      <c r="M3" s="234"/>
      <c r="N3" s="45" t="s">
        <v>1</v>
      </c>
      <c r="O3" s="45" t="s">
        <v>11</v>
      </c>
      <c r="P3" s="45" t="s">
        <v>12</v>
      </c>
      <c r="Q3" s="45" t="s">
        <v>1</v>
      </c>
      <c r="R3" s="45" t="s">
        <v>11</v>
      </c>
      <c r="S3" s="45" t="s">
        <v>12</v>
      </c>
      <c r="T3" s="45" t="s">
        <v>1</v>
      </c>
      <c r="U3" s="45" t="s">
        <v>11</v>
      </c>
      <c r="V3" s="45" t="s">
        <v>12</v>
      </c>
      <c r="W3" s="45" t="s">
        <v>1</v>
      </c>
      <c r="X3" s="45" t="s">
        <v>11</v>
      </c>
      <c r="Y3" s="45" t="s">
        <v>12</v>
      </c>
      <c r="Z3" s="45" t="s">
        <v>1</v>
      </c>
      <c r="AA3" s="45" t="s">
        <v>11</v>
      </c>
      <c r="AB3" s="45" t="s">
        <v>12</v>
      </c>
      <c r="AC3" s="228"/>
      <c r="AD3" s="215"/>
    </row>
    <row r="4" spans="1:30" x14ac:dyDescent="0.35">
      <c r="A4" s="46" t="s">
        <v>1002</v>
      </c>
      <c r="B4" s="47" t="s">
        <v>1016</v>
      </c>
      <c r="C4" s="29" t="s">
        <v>1023</v>
      </c>
      <c r="D4" s="49">
        <v>45779</v>
      </c>
      <c r="E4" s="1"/>
      <c r="F4" s="1"/>
      <c r="G4" s="44"/>
      <c r="H4" s="44"/>
      <c r="I4" s="1"/>
      <c r="J4" s="1"/>
      <c r="K4" s="1"/>
      <c r="L4" s="56"/>
      <c r="M4" s="56"/>
      <c r="N4" s="1"/>
      <c r="O4" s="1"/>
      <c r="P4" s="1"/>
      <c r="Q4" s="1"/>
      <c r="R4" s="1"/>
      <c r="S4" s="1"/>
      <c r="T4" s="1"/>
      <c r="U4" s="2"/>
      <c r="V4" s="2"/>
      <c r="W4" s="2"/>
      <c r="X4" s="2"/>
      <c r="Y4" s="2"/>
      <c r="Z4" s="2"/>
      <c r="AA4" s="2"/>
      <c r="AB4" s="3"/>
      <c r="AC4" s="3">
        <f>+(L4+M4)-O4-R4-U4-X4-AA4</f>
        <v>0</v>
      </c>
      <c r="AD4" s="1"/>
    </row>
    <row r="5" spans="1:30" x14ac:dyDescent="0.35">
      <c r="A5" s="46" t="s">
        <v>1003</v>
      </c>
      <c r="B5" s="47" t="s">
        <v>1017</v>
      </c>
      <c r="C5" s="30"/>
      <c r="D5" s="50"/>
      <c r="E5" s="1"/>
      <c r="F5" s="1"/>
      <c r="G5" s="44"/>
      <c r="H5" s="44"/>
      <c r="I5" s="1"/>
      <c r="J5" s="1"/>
      <c r="K5" s="1"/>
      <c r="L5" s="56"/>
      <c r="M5" s="5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3"/>
      <c r="AC5" s="3">
        <f t="shared" ref="AC5:AC18" si="0">+(L5+M5)-O5-R5-U5-X5-AA5</f>
        <v>0</v>
      </c>
      <c r="AD5" s="1"/>
    </row>
    <row r="6" spans="1:30" x14ac:dyDescent="0.35">
      <c r="A6" s="46" t="s">
        <v>1004</v>
      </c>
      <c r="B6" s="47" t="s">
        <v>1018</v>
      </c>
      <c r="C6" s="31" t="s">
        <v>1024</v>
      </c>
      <c r="D6" s="51">
        <v>46114</v>
      </c>
      <c r="E6" s="1"/>
      <c r="F6" s="1"/>
      <c r="G6" s="44"/>
      <c r="H6" s="44"/>
      <c r="I6" s="1"/>
      <c r="J6" s="1"/>
      <c r="K6" s="1"/>
      <c r="L6" s="56"/>
      <c r="M6" s="5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3"/>
      <c r="AC6" s="3">
        <f t="shared" si="0"/>
        <v>0</v>
      </c>
      <c r="AD6" s="1"/>
    </row>
    <row r="7" spans="1:30" x14ac:dyDescent="0.35">
      <c r="A7" s="46" t="s">
        <v>1005</v>
      </c>
      <c r="B7" s="47" t="s">
        <v>1019</v>
      </c>
      <c r="C7" s="29"/>
      <c r="D7" s="49"/>
      <c r="E7" s="1"/>
      <c r="F7" s="1"/>
      <c r="G7" s="44"/>
      <c r="H7" s="44"/>
      <c r="I7" s="1"/>
      <c r="J7" s="1"/>
      <c r="K7" s="1"/>
      <c r="L7" s="56"/>
      <c r="M7" s="5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3"/>
      <c r="AC7" s="3">
        <f t="shared" si="0"/>
        <v>0</v>
      </c>
      <c r="AD7" s="1"/>
    </row>
    <row r="8" spans="1:30" ht="21" x14ac:dyDescent="0.35">
      <c r="A8" s="46" t="s">
        <v>1006</v>
      </c>
      <c r="B8" s="47" t="s">
        <v>1020</v>
      </c>
      <c r="C8" s="29">
        <v>1950</v>
      </c>
      <c r="D8" s="49">
        <v>46136</v>
      </c>
      <c r="E8" s="1"/>
      <c r="F8" s="39" t="s">
        <v>1193</v>
      </c>
      <c r="G8" s="44"/>
      <c r="H8" s="132" t="s">
        <v>1192</v>
      </c>
      <c r="I8" s="1"/>
      <c r="J8" s="1"/>
      <c r="K8" s="1"/>
      <c r="L8" s="56"/>
      <c r="M8" s="5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3"/>
      <c r="AC8" s="3">
        <f t="shared" si="0"/>
        <v>0</v>
      </c>
      <c r="AD8" s="1"/>
    </row>
    <row r="9" spans="1:30" x14ac:dyDescent="0.35">
      <c r="A9" s="46" t="s">
        <v>1007</v>
      </c>
      <c r="B9" s="47"/>
      <c r="C9" s="29"/>
      <c r="D9" s="49"/>
      <c r="E9" s="1"/>
      <c r="F9" s="78"/>
      <c r="G9" s="44"/>
      <c r="H9" s="44"/>
      <c r="I9" s="1"/>
      <c r="J9" s="1"/>
      <c r="K9" s="1"/>
      <c r="L9" s="79"/>
      <c r="M9" s="79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1"/>
      <c r="Z9" s="1"/>
      <c r="AA9" s="1"/>
      <c r="AB9" s="3"/>
      <c r="AC9" s="85">
        <f t="shared" si="0"/>
        <v>0</v>
      </c>
      <c r="AD9" s="1"/>
    </row>
    <row r="10" spans="1:30" x14ac:dyDescent="0.35">
      <c r="A10" s="46" t="s">
        <v>1008</v>
      </c>
      <c r="B10" s="47" t="s">
        <v>1022</v>
      </c>
      <c r="C10" s="29" t="s">
        <v>1025</v>
      </c>
      <c r="D10" s="49">
        <v>46122</v>
      </c>
      <c r="E10" s="1"/>
      <c r="F10" s="131" t="s">
        <v>1163</v>
      </c>
      <c r="G10" s="44">
        <v>81</v>
      </c>
      <c r="H10" s="44" t="s">
        <v>1191</v>
      </c>
      <c r="I10" s="1"/>
      <c r="J10" s="1"/>
      <c r="K10" s="1"/>
      <c r="L10" s="56"/>
      <c r="M10" s="5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3"/>
      <c r="AC10" s="3">
        <f t="shared" si="0"/>
        <v>0</v>
      </c>
      <c r="AD10" s="1"/>
    </row>
    <row r="11" spans="1:30" ht="21" x14ac:dyDescent="0.35">
      <c r="A11" s="46" t="s">
        <v>1009</v>
      </c>
      <c r="B11" s="47" t="s">
        <v>1284</v>
      </c>
      <c r="C11" s="29"/>
      <c r="D11" s="51"/>
      <c r="E11" s="1"/>
      <c r="F11" s="39" t="s">
        <v>1286</v>
      </c>
      <c r="G11" s="44">
        <v>200</v>
      </c>
      <c r="H11" s="132" t="s">
        <v>1285</v>
      </c>
      <c r="I11" s="1"/>
      <c r="J11" s="1"/>
      <c r="K11" s="80">
        <v>46155</v>
      </c>
      <c r="L11" s="56"/>
      <c r="M11" s="5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3"/>
      <c r="AC11" s="3">
        <f t="shared" si="0"/>
        <v>0</v>
      </c>
      <c r="AD11" s="1"/>
    </row>
    <row r="12" spans="1:30" ht="21" x14ac:dyDescent="0.35">
      <c r="A12" s="46" t="s">
        <v>1010</v>
      </c>
      <c r="B12" s="47" t="s">
        <v>1372</v>
      </c>
      <c r="C12" s="29">
        <v>3939</v>
      </c>
      <c r="D12" s="49">
        <v>46203</v>
      </c>
      <c r="E12" s="49">
        <v>46204</v>
      </c>
      <c r="F12" s="39" t="s">
        <v>1163</v>
      </c>
      <c r="G12" s="44">
        <v>81</v>
      </c>
      <c r="H12" s="132" t="s">
        <v>1373</v>
      </c>
      <c r="I12" s="1"/>
      <c r="J12" s="1"/>
      <c r="K12" s="1"/>
      <c r="L12" s="56"/>
      <c r="M12" s="5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3"/>
      <c r="AC12" s="3">
        <f t="shared" si="0"/>
        <v>0</v>
      </c>
      <c r="AD12" s="1"/>
    </row>
    <row r="13" spans="1:30" x14ac:dyDescent="0.35">
      <c r="A13" s="46" t="s">
        <v>1011</v>
      </c>
      <c r="B13" s="48"/>
      <c r="C13" s="29"/>
      <c r="D13" s="1"/>
      <c r="E13" s="1"/>
      <c r="F13" s="39"/>
      <c r="G13" s="44"/>
      <c r="H13" s="132"/>
      <c r="I13" s="1"/>
      <c r="J13" s="1"/>
      <c r="K13" s="1"/>
      <c r="L13" s="56"/>
      <c r="M13" s="5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3"/>
      <c r="AC13" s="3">
        <f t="shared" si="0"/>
        <v>0</v>
      </c>
      <c r="AD13" s="1"/>
    </row>
    <row r="14" spans="1:30" x14ac:dyDescent="0.35">
      <c r="A14" s="46" t="s">
        <v>1012</v>
      </c>
      <c r="B14" s="48"/>
      <c r="C14" s="29"/>
      <c r="D14" s="1"/>
      <c r="E14" s="1"/>
      <c r="F14" s="39"/>
      <c r="G14" s="44"/>
      <c r="H14" s="132"/>
      <c r="I14" s="1"/>
      <c r="J14" s="1"/>
      <c r="K14" s="1"/>
      <c r="L14" s="56"/>
      <c r="M14" s="5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3"/>
      <c r="AC14" s="3">
        <f t="shared" si="0"/>
        <v>0</v>
      </c>
      <c r="AD14" s="1"/>
    </row>
    <row r="15" spans="1:30" x14ac:dyDescent="0.35">
      <c r="A15" s="46" t="s">
        <v>1013</v>
      </c>
      <c r="B15" s="48"/>
      <c r="C15" s="29"/>
      <c r="D15" s="1"/>
      <c r="E15" s="1"/>
      <c r="F15" s="39"/>
      <c r="G15" s="44"/>
      <c r="H15" s="132"/>
      <c r="I15" s="1"/>
      <c r="J15" s="1"/>
      <c r="K15" s="1"/>
      <c r="L15" s="56"/>
      <c r="M15" s="5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3"/>
      <c r="AC15" s="3">
        <f t="shared" si="0"/>
        <v>0</v>
      </c>
      <c r="AD15" s="1"/>
    </row>
    <row r="16" spans="1:30" x14ac:dyDescent="0.35">
      <c r="A16" s="46" t="s">
        <v>1014</v>
      </c>
      <c r="B16" s="48"/>
      <c r="C16" s="29"/>
      <c r="D16" s="1"/>
      <c r="E16" s="1"/>
      <c r="F16" s="39"/>
      <c r="G16" s="44"/>
      <c r="H16" s="132"/>
      <c r="I16" s="1"/>
      <c r="J16" s="1"/>
      <c r="K16" s="1"/>
      <c r="L16" s="56"/>
      <c r="M16" s="5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3"/>
      <c r="AC16" s="3">
        <f t="shared" si="0"/>
        <v>0</v>
      </c>
      <c r="AD16" s="1"/>
    </row>
    <row r="17" spans="1:30" x14ac:dyDescent="0.35">
      <c r="A17" s="46" t="s">
        <v>1015</v>
      </c>
      <c r="B17" s="1"/>
      <c r="C17" s="29"/>
      <c r="D17" s="1"/>
      <c r="E17" s="1"/>
      <c r="F17" s="1"/>
      <c r="G17" s="1"/>
      <c r="H17" s="132"/>
      <c r="I17" s="1"/>
      <c r="J17" s="1"/>
      <c r="K17" s="1"/>
      <c r="L17" s="56"/>
      <c r="M17" s="5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3"/>
      <c r="AC17" s="3">
        <f t="shared" si="0"/>
        <v>0</v>
      </c>
      <c r="AD17" s="1"/>
    </row>
    <row r="18" spans="1:30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56"/>
      <c r="M18" s="5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3"/>
      <c r="AC18" s="3">
        <f t="shared" si="0"/>
        <v>0</v>
      </c>
      <c r="AD18" s="1"/>
    </row>
  </sheetData>
  <mergeCells count="18">
    <mergeCell ref="M2:M3"/>
    <mergeCell ref="AD2:AD3"/>
    <mergeCell ref="N2:P2"/>
    <mergeCell ref="Q2:S2"/>
    <mergeCell ref="T2:V2"/>
    <mergeCell ref="W2:Y2"/>
    <mergeCell ref="Z2:AB2"/>
    <mergeCell ref="AC2:AC3"/>
    <mergeCell ref="L2:L3"/>
    <mergeCell ref="A2:A3"/>
    <mergeCell ref="B2:B3"/>
    <mergeCell ref="F2:F3"/>
    <mergeCell ref="C2:E2"/>
    <mergeCell ref="G2:G3"/>
    <mergeCell ref="H2:H3"/>
    <mergeCell ref="I2:I3"/>
    <mergeCell ref="J2:J3"/>
    <mergeCell ref="K2:K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9"/>
  <sheetViews>
    <sheetView workbookViewId="0">
      <selection activeCell="B16" sqref="B16"/>
    </sheetView>
  </sheetViews>
  <sheetFormatPr baseColWidth="10" defaultColWidth="8.81640625" defaultRowHeight="14.5" x14ac:dyDescent="0.35"/>
  <cols>
    <col min="1" max="1" width="6.81640625" customWidth="1"/>
    <col min="2" max="2" width="38.1796875" customWidth="1"/>
    <col min="3" max="3" width="15.1796875" customWidth="1"/>
    <col min="5" max="5" width="15.81640625" customWidth="1"/>
    <col min="6" max="6" width="17.453125" customWidth="1"/>
    <col min="7" max="7" width="9.81640625" customWidth="1"/>
    <col min="12" max="12" width="8.81640625" style="162"/>
    <col min="13" max="13" width="8.81640625" style="179"/>
  </cols>
  <sheetData>
    <row r="1" spans="1:30" x14ac:dyDescent="0.35">
      <c r="L1"/>
      <c r="M1"/>
    </row>
    <row r="2" spans="1:30" ht="14.5" customHeight="1" x14ac:dyDescent="0.35">
      <c r="A2" s="238" t="s">
        <v>0</v>
      </c>
      <c r="B2" s="238" t="s">
        <v>1044</v>
      </c>
      <c r="C2" s="239" t="s">
        <v>22</v>
      </c>
      <c r="D2" s="240"/>
      <c r="E2" s="241"/>
      <c r="F2" s="238" t="s">
        <v>2</v>
      </c>
      <c r="G2" s="238" t="s">
        <v>3</v>
      </c>
      <c r="H2" s="238" t="s">
        <v>5</v>
      </c>
      <c r="I2" s="238" t="s">
        <v>4</v>
      </c>
      <c r="J2" s="238" t="s">
        <v>6</v>
      </c>
      <c r="K2" s="238" t="s">
        <v>25</v>
      </c>
      <c r="L2" s="243" t="s">
        <v>1260</v>
      </c>
      <c r="M2" s="244" t="s">
        <v>1261</v>
      </c>
      <c r="N2" s="239" t="s">
        <v>7</v>
      </c>
      <c r="O2" s="240"/>
      <c r="P2" s="241"/>
      <c r="Q2" s="239" t="s">
        <v>8</v>
      </c>
      <c r="R2" s="240"/>
      <c r="S2" s="241"/>
      <c r="T2" s="239" t="s">
        <v>9</v>
      </c>
      <c r="U2" s="240"/>
      <c r="V2" s="241"/>
      <c r="W2" s="239" t="s">
        <v>10</v>
      </c>
      <c r="X2" s="240"/>
      <c r="Y2" s="241"/>
      <c r="Z2" s="239" t="s">
        <v>13</v>
      </c>
      <c r="AA2" s="240"/>
      <c r="AB2" s="241"/>
      <c r="AC2" s="238" t="s">
        <v>14</v>
      </c>
      <c r="AD2" s="242"/>
    </row>
    <row r="3" spans="1:30" ht="21" x14ac:dyDescent="0.35">
      <c r="A3" s="238"/>
      <c r="B3" s="238"/>
      <c r="C3" s="87" t="s">
        <v>23</v>
      </c>
      <c r="D3" s="87" t="s">
        <v>24</v>
      </c>
      <c r="E3" s="87" t="s">
        <v>1026</v>
      </c>
      <c r="F3" s="238"/>
      <c r="G3" s="238"/>
      <c r="H3" s="238"/>
      <c r="I3" s="238"/>
      <c r="J3" s="238"/>
      <c r="K3" s="238"/>
      <c r="L3" s="243"/>
      <c r="M3" s="245"/>
      <c r="N3" s="87" t="s">
        <v>1</v>
      </c>
      <c r="O3" s="87" t="s">
        <v>11</v>
      </c>
      <c r="P3" s="87" t="s">
        <v>12</v>
      </c>
      <c r="Q3" s="87" t="s">
        <v>1</v>
      </c>
      <c r="R3" s="87" t="s">
        <v>11</v>
      </c>
      <c r="S3" s="87" t="s">
        <v>12</v>
      </c>
      <c r="T3" s="87" t="s">
        <v>1</v>
      </c>
      <c r="U3" s="87" t="s">
        <v>11</v>
      </c>
      <c r="V3" s="87" t="s">
        <v>12</v>
      </c>
      <c r="W3" s="87" t="s">
        <v>1</v>
      </c>
      <c r="X3" s="87" t="s">
        <v>11</v>
      </c>
      <c r="Y3" s="87" t="s">
        <v>12</v>
      </c>
      <c r="Z3" s="87" t="s">
        <v>1</v>
      </c>
      <c r="AA3" s="87" t="s">
        <v>11</v>
      </c>
      <c r="AB3" s="87" t="s">
        <v>12</v>
      </c>
      <c r="AC3" s="238"/>
      <c r="AD3" s="242"/>
    </row>
    <row r="4" spans="1:30" x14ac:dyDescent="0.35">
      <c r="A4" s="1">
        <v>1</v>
      </c>
      <c r="B4" s="88" t="s">
        <v>1091</v>
      </c>
      <c r="C4" s="1"/>
      <c r="D4" s="1"/>
      <c r="E4" s="1"/>
      <c r="F4" s="1"/>
      <c r="G4" s="1"/>
      <c r="H4" s="1"/>
      <c r="I4" s="1"/>
      <c r="J4" s="1"/>
      <c r="K4" s="1"/>
      <c r="L4" s="168"/>
      <c r="M4" s="17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85">
        <f>+(L4+M4)-O4-R4-U4-X4-AA4</f>
        <v>0</v>
      </c>
      <c r="AD4" s="1"/>
    </row>
    <row r="5" spans="1:30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68"/>
      <c r="M5" s="17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85">
        <f t="shared" ref="AC5:AC9" si="0">+(L5+M5)-O5-R5-U5-X5-AA5</f>
        <v>0</v>
      </c>
      <c r="AD5" s="1"/>
    </row>
    <row r="6" spans="1:30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68"/>
      <c r="M6" s="17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85">
        <f t="shared" si="0"/>
        <v>0</v>
      </c>
      <c r="AD6" s="1"/>
    </row>
    <row r="7" spans="1:30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68"/>
      <c r="M7" s="17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85">
        <f t="shared" si="0"/>
        <v>0</v>
      </c>
      <c r="AD7" s="1"/>
    </row>
    <row r="8" spans="1:30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68"/>
      <c r="M8" s="17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85">
        <f t="shared" si="0"/>
        <v>0</v>
      </c>
      <c r="AD8" s="1"/>
    </row>
    <row r="9" spans="1:30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68"/>
      <c r="M9" s="17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85">
        <f t="shared" si="0"/>
        <v>0</v>
      </c>
      <c r="AD9" s="1"/>
    </row>
  </sheetData>
  <mergeCells count="18">
    <mergeCell ref="Z2:AB2"/>
    <mergeCell ref="AC2:AC3"/>
    <mergeCell ref="AD2:AD3"/>
    <mergeCell ref="H2:H3"/>
    <mergeCell ref="I2:I3"/>
    <mergeCell ref="J2:J3"/>
    <mergeCell ref="K2:K3"/>
    <mergeCell ref="L2:L3"/>
    <mergeCell ref="N2:P2"/>
    <mergeCell ref="Q2:S2"/>
    <mergeCell ref="T2:V2"/>
    <mergeCell ref="W2:Y2"/>
    <mergeCell ref="M2:M3"/>
    <mergeCell ref="A2:A3"/>
    <mergeCell ref="B2:B3"/>
    <mergeCell ref="F2:F3"/>
    <mergeCell ref="G2:G3"/>
    <mergeCell ref="C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MARRAKECH</vt:lpstr>
      <vt:lpstr>BENGUERIR</vt:lpstr>
      <vt:lpstr>ESSAOUIRA</vt:lpstr>
      <vt:lpstr>AL HAOUZ</vt:lpstr>
      <vt:lpstr>KELAA</vt:lpstr>
      <vt:lpstr>AGADIR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 PC</dc:creator>
  <cp:lastModifiedBy>Archi Lbo</cp:lastModifiedBy>
  <dcterms:created xsi:type="dcterms:W3CDTF">2026-04-17T15:58:42Z</dcterms:created>
  <dcterms:modified xsi:type="dcterms:W3CDTF">2026-08-04T17:04:52Z</dcterms:modified>
</cp:coreProperties>
</file>